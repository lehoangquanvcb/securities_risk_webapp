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f90af374c93407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aeb08e89bada4720"/>
    <x:sheet xmlns:r="http://schemas.openxmlformats.org/officeDocument/2006/relationships" name="Risk_Appetite" sheetId="2" r:id="Rad7366dcfe5a4139"/>
    <x:sheet xmlns:r="http://schemas.openxmlformats.org/officeDocument/2006/relationships" name="KRI_Library" sheetId="3" r:id="Rd474ab71e2024149"/>
    <x:sheet xmlns:r="http://schemas.openxmlformats.org/officeDocument/2006/relationships" name="Market_Data_vnstock" sheetId="4" r:id="R74e87423ae264624"/>
    <x:sheet xmlns:r="http://schemas.openxmlformats.org/officeDocument/2006/relationships" name="Margin_Book" sheetId="5" r:id="Re099a37a351f4924"/>
    <x:sheet xmlns:r="http://schemas.openxmlformats.org/officeDocument/2006/relationships" name="Liquidity_Risk" sheetId="6" r:id="R209666fdea5c4b7a"/>
    <x:sheet xmlns:r="http://schemas.openxmlformats.org/officeDocument/2006/relationships" name="Operational_Risk" sheetId="7" r:id="R0d3f3ee19dab4ee9"/>
    <x:sheet xmlns:r="http://schemas.openxmlformats.org/officeDocument/2006/relationships" name="Risk_Limits" sheetId="8" r:id="R79c88d580de742b4"/>
    <x:sheet xmlns:r="http://schemas.openxmlformats.org/officeDocument/2006/relationships" name="Stress_Test" sheetId="9" r:id="Rf1eb0a9d856f49c9"/>
    <x:sheet xmlns:r="http://schemas.openxmlformats.org/officeDocument/2006/relationships" name="Public_Context" sheetId="10" r:id="R3b6cd0abc0a0424a"/>
    <x:sheet xmlns:r="http://schemas.openxmlformats.org/officeDocument/2006/relationships" name="Data_Dictionary" sheetId="11" r:id="Re917b3a97e86493b"/>
    <x:sheet xmlns:r="http://schemas.openxmlformats.org/officeDocument/2006/relationships" name="Instructions" sheetId="12" r:id="R255f83dc694645e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#,##0;[Red](#,##0);-"/>
    <x:numFmt numFmtId="202" formatCode="0.0%;[Red](0.0%);-"/>
  </x:numFmts>
  <x:fonts count="9">
    <x:font>
      <x:sz val="11"/>
      <x:name val="Carlito"/>
    </x:font>
    <x:font>
      <x:b/>
      <x:sz val="16"/>
      <x:color rgb="FFFFFF"/>
      <x:name val="Carlito"/>
    </x:font>
    <x:font>
      <x:b/>
      <x:sz val="11"/>
      <x:name val="Carlito"/>
    </x:font>
    <x:font>
      <x:b/>
      <x:sz val="12"/>
      <x:color rgb="FFFFFF"/>
      <x:name val="Carlito"/>
    </x:font>
    <x:font>
      <x:b/>
      <x:sz val="11"/>
      <x:color rgb="FFFFFF"/>
      <x:name val="Carlito"/>
    </x:font>
    <x:font>
      <x:sz val="11"/>
      <x:color rgb="0000FF"/>
      <x:name val="Carlito"/>
    </x:font>
    <x:font>
      <x:sz val="11"/>
      <x:color rgb="008000"/>
      <x:name val="Carlito"/>
    </x:font>
    <x:font>
      <x:sz val="11"/>
      <x:color rgb="000000"/>
      <x:name val="Carlito"/>
    </x:font>
    <x:font>
      <x:i/>
      <x:sz val="11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0F172A"/>
      </x:patternFill>
    </x:fill>
    <x:fill>
      <x:patternFill patternType="solid">
        <x:fgColor rgb="E2F0D9"/>
      </x:patternFill>
    </x:fill>
    <x:fill>
      <x:patternFill patternType="solid">
        <x:fgColor rgb="1F4E78"/>
      </x:patternFill>
    </x:fill>
    <x:fill>
      <x:patternFill patternType="solid">
        <x:fgColor rgb="FFF2CC"/>
      </x:patternFill>
    </x:fill>
  </x:fills>
  <x:borders count="2">
    <x:border/>
    <x:border/>
  </x:borders>
  <x:cellStyleXfs count="1">
    <x:xf numFmtId="0" fontId="0" fillId="0" borderId="0"/>
  </x:cellStyleXfs>
  <x:cellXfs count="7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left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left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horizontal="center" wrapText="1"/>
    </x:xf>
    <x:xf numFmtId="0" fontId="4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4" fillId="4" borderId="1" xfId="0" applyNumberFormat="1" applyFont="1" applyFill="1" applyBorder="1"/>
    <x:xf numFmtId="0" fontId="4" fillId="4" borderId="1" xfId="0" applyNumberFormat="1" applyFont="1" applyFill="1" applyBorder="1" applyAlignment="1">
      <x:alignment wrapText="1"/>
    </x:xf>
    <x:xf numFmtId="0" fontId="4" fillId="4" borderId="1" xfId="0" applyNumberFormat="1" applyFont="1" applyFill="1" applyBorder="1" applyAlignment="1">
      <x:alignment horizontal="center" wrapText="1"/>
    </x:xf>
    <x:xf numFmtId="0" fontId="4" fillId="4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0" fillId="5" borderId="1" xfId="0" applyNumberFormat="1" applyFont="1" applyFill="1" applyBorder="1"/>
    <x:xf numFmtId="0" fontId="5" fillId="5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2" fontId="6" fillId="0" borderId="0" xfId="0" applyNumberFormat="1" applyFont="1" applyFill="1" applyBorder="1"/>
    <x:xf numFmtId="0" fontId="6" fillId="0" borderId="0" xfId="0" applyNumberFormat="1" applyFont="1" applyFill="1" applyBorder="1"/>
    <x:xf numFmtId="201" fontId="6" fillId="0" borderId="0" xfId="0" applyNumberFormat="1" applyFont="1" applyFill="1" applyBorder="1"/>
    <x:xf numFmtId="202" fontId="6" fillId="0" borderId="1" xfId="0" applyNumberFormat="1" applyFont="1" applyFill="1" applyBorder="1"/>
    <x:xf numFmtId="0" fontId="6" fillId="0" borderId="1" xfId="0" applyNumberFormat="1" applyFont="1" applyFill="1" applyBorder="1"/>
    <x:xf numFmtId="201" fontId="6" fillId="0" borderId="1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6" fillId="0" borderId="1" xfId="0" applyNumberFormat="1" applyFont="1" applyFill="1" applyBorder="1" applyAlignment="1">
      <x:alignment wrapText="1"/>
    </x:xf>
    <x:xf numFmtId="202" fontId="6" fillId="0" borderId="0" xfId="0" applyNumberFormat="1" applyFont="1" applyFill="1" applyBorder="1" applyAlignment="1">
      <x:alignment wrapText="1"/>
    </x:xf>
    <x:xf numFmtId="202" fontId="6" fillId="0" borderId="1" xfId="0" applyNumberFormat="1" applyFont="1" applyFill="1" applyBorder="1" applyAlignment="1">
      <x:alignment wrapText="1"/>
    </x:xf>
    <x:xf numFmtId="202" fontId="0" fillId="5" borderId="0" xfId="0" applyNumberFormat="1" applyFont="1" applyFill="1" applyBorder="1"/>
    <x:xf numFmtId="202" fontId="5" fillId="5" borderId="0" xfId="0" applyNumberFormat="1" applyFont="1" applyFill="1" applyBorder="1"/>
    <x:xf numFmtId="202" fontId="0" fillId="5" borderId="1" xfId="0" applyNumberFormat="1" applyFont="1" applyFill="1" applyBorder="1"/>
    <x:xf numFmtId="202" fontId="5" fillId="5" borderId="1" xfId="0" applyNumberFormat="1" applyFont="1" applyFill="1" applyBorder="1"/>
    <x:xf numFmtId="0" fontId="7" fillId="0" borderId="0" xfId="0" applyNumberFormat="1" applyFont="1" applyFill="1" applyBorder="1"/>
    <x:xf numFmtId="0" fontId="7" fillId="0" borderId="1" xfId="0" applyNumberFormat="1" applyFont="1" applyFill="1" applyBorder="1"/>
    <x:xf numFmtId="201" fontId="5" fillId="5" borderId="0" xfId="0" applyNumberFormat="1" applyFont="1" applyFill="1" applyBorder="1"/>
    <x:xf numFmtId="201" fontId="7" fillId="0" borderId="0" xfId="0" applyNumberFormat="1" applyFont="1" applyFill="1" applyBorder="1"/>
    <x:xf numFmtId="201" fontId="5" fillId="5" borderId="1" xfId="0" applyNumberFormat="1" applyFont="1" applyFill="1" applyBorder="1"/>
    <x:xf numFmtId="201" fontId="7" fillId="0" borderId="1" xfId="0" applyNumberFormat="1" applyFont="1" applyFill="1" applyBorder="1"/>
    <x:xf numFmtId="202" fontId="7" fillId="0" borderId="0" xfId="0" applyNumberFormat="1" applyFont="1" applyFill="1" applyBorder="1"/>
    <x:xf numFmtId="202" fontId="7" fillId="0" borderId="1" xfId="0" applyNumberFormat="1" applyFont="1" applyFill="1" applyBorder="1"/>
    <x:xf numFmtId="20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  <x:xf numFmtId="200" fontId="6" fillId="0" borderId="0" xfId="0" applyNumberFormat="1" applyFont="1" applyFill="1" applyBorder="1"/>
    <x:xf numFmtId="200" fontId="6" fillId="0" borderId="1" xfId="0" applyNumberFormat="1" applyFont="1" applyFill="1" applyBorder="1"/>
    <x:xf numFmtId="0" fontId="8" fillId="5" borderId="0" xfId="0" applyNumberFormat="1" applyFont="1" applyFill="1" applyBorder="1"/>
    <x:xf numFmtId="0" fontId="8" fillId="5" borderId="0" xfId="0" applyNumberFormat="1" applyFont="1" applyFill="1" applyBorder="1" applyAlignment="1">
      <x:alignment wrapText="1"/>
    </x:xf>
    <x:xf numFmtId="0" fontId="8" fillId="5" borderId="1" xfId="0" applyNumberFormat="1" applyFont="1" applyFill="1" applyBorder="1"/>
    <x:xf numFmtId="0" fontId="8" fillId="5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left" wrapText="1"/>
    </x:xf>
    <x:xf numFmtId="0" fontId="3" fillId="2" borderId="1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wrapText="1"/>
    </x:xf>
  </x:cellXfs>
  <x:cellStyles count="1">
    <x:cellStyle name="Normal" xfId="0"/>
  </x:cellStyles>
  <x:dxfs count="15">
    <x:dxf>
      <x:font>
        <x:b/>
        <x:color rgb="990000"/>
      </x:font>
      <x:fill>
        <x:patternFill patternType="solid">
          <x:bgColor rgb="F4CCCC"/>
        </x:patternFill>
      </x:fill>
    </x:dxf>
    <x:dxf>
      <x:font>
        <x:b/>
        <x:color rgb="9C6500"/>
      </x:font>
      <x:fill>
        <x:patternFill patternType="solid">
          <x:bgColor rgb="FCE4D6"/>
        </x:patternFill>
      </x:fill>
    </x:dxf>
    <x:dxf>
      <x:font>
        <x:b/>
        <x:color rgb="38761D"/>
      </x:font>
      <x:fill>
        <x:patternFill patternType="solid">
          <x:bgColor rgb="D9EAD3"/>
        </x:patternFill>
      </x:fill>
    </x:dxf>
    <x:dxf>
      <x:font>
        <x:b/>
        <x:color rgb="990000"/>
      </x:font>
      <x:fill>
        <x:patternFill patternType="solid">
          <x:bgColor rgb="F4CCCC"/>
        </x:patternFill>
      </x:fill>
    </x:dxf>
    <x:dxf>
      <x:font>
        <x:b/>
        <x:color rgb="9C6500"/>
      </x:font>
      <x:fill>
        <x:patternFill patternType="solid">
          <x:bgColor rgb="FCE4D6"/>
        </x:patternFill>
      </x:fill>
    </x:dxf>
    <x:dxf>
      <x:font>
        <x:b/>
        <x:color rgb="38761D"/>
      </x:font>
      <x:fill>
        <x:patternFill patternType="solid">
          <x:bgColor rgb="D9EAD3"/>
        </x:patternFill>
      </x:fill>
    </x:dxf>
    <x:dxf>
      <x:font>
        <x:b/>
        <x:color rgb="990000"/>
      </x:font>
      <x:fill>
        <x:patternFill patternType="solid">
          <x:bgColor rgb="F4CCCC"/>
        </x:patternFill>
      </x:fill>
    </x:dxf>
    <x:dxf>
      <x:font>
        <x:b/>
        <x:color rgb="9C6500"/>
      </x:font>
      <x:fill>
        <x:patternFill patternType="solid">
          <x:bgColor rgb="FCE4D6"/>
        </x:patternFill>
      </x:fill>
    </x:dxf>
    <x:dxf>
      <x:font>
        <x:b/>
        <x:color rgb="38761D"/>
      </x:font>
      <x:fill>
        <x:patternFill patternType="solid">
          <x:bgColor rgb="D9EAD3"/>
        </x:patternFill>
      </x:fill>
    </x:dxf>
    <x:dxf>
      <x:font>
        <x:b/>
        <x:color rgb="990000"/>
      </x:font>
      <x:fill>
        <x:patternFill patternType="solid">
          <x:bgColor rgb="F4CCCC"/>
        </x:patternFill>
      </x:fill>
    </x:dxf>
    <x:dxf>
      <x:font>
        <x:b/>
        <x:color rgb="9C6500"/>
      </x:font>
      <x:fill>
        <x:patternFill patternType="solid">
          <x:bgColor rgb="FCE4D6"/>
        </x:patternFill>
      </x:fill>
    </x:dxf>
    <x:dxf>
      <x:font>
        <x:b/>
        <x:color rgb="38761D"/>
      </x:font>
      <x:fill>
        <x:patternFill patternType="solid">
          <x:bgColor rgb="D9EAD3"/>
        </x:patternFill>
      </x:fill>
    </x:dxf>
    <x:dxf>
      <x:font>
        <x:b/>
        <x:color rgb="990000"/>
      </x:font>
      <x:fill>
        <x:patternFill patternType="solid">
          <x:bgColor rgb="F4CCCC"/>
        </x:patternFill>
      </x:fill>
    </x:dxf>
    <x:dxf>
      <x:font>
        <x:b/>
        <x:color rgb="9C6500"/>
      </x:font>
      <x:fill>
        <x:patternFill patternType="solid">
          <x:bgColor rgb="FCE4D6"/>
        </x:patternFill>
      </x:fill>
    </x:dxf>
    <x:dxf>
      <x:font>
        <x:b/>
        <x:color rgb="38761D"/>
      </x:font>
      <x:fill>
        <x:patternFill patternType="solid">
          <x:bgColor rgb="D9EAD3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119ab58c33742c4" /><Relationship Type="http://schemas.openxmlformats.org/officeDocument/2006/relationships/theme" Target="/xl/theme/theme1.xml" Id="R697d8251b7bf4724" /><Relationship Type="http://schemas.openxmlformats.org/officeDocument/2006/relationships/sharedStrings" Target="/xl/sharedStrings.xml" Id="Re81220b34ada41ad" /><Relationship Type="http://schemas.openxmlformats.org/officeDocument/2006/relationships/worksheet" Target="/xl/worksheets/sheet1.xml" Id="Raeb08e89bada4720" /><Relationship Type="http://schemas.openxmlformats.org/officeDocument/2006/relationships/worksheet" Target="/xl/worksheets/sheet2.xml" Id="Rad7366dcfe5a4139" /><Relationship Type="http://schemas.openxmlformats.org/officeDocument/2006/relationships/worksheet" Target="/xl/worksheets/sheet3.xml" Id="Rd474ab71e2024149" /><Relationship Type="http://schemas.openxmlformats.org/officeDocument/2006/relationships/worksheet" Target="/xl/worksheets/sheet4.xml" Id="R74e87423ae264624" /><Relationship Type="http://schemas.openxmlformats.org/officeDocument/2006/relationships/worksheet" Target="/xl/worksheets/sheet5.xml" Id="Re099a37a351f4924" /><Relationship Type="http://schemas.openxmlformats.org/officeDocument/2006/relationships/worksheet" Target="/xl/worksheets/sheet6.xml" Id="R209666fdea5c4b7a" /><Relationship Type="http://schemas.openxmlformats.org/officeDocument/2006/relationships/worksheet" Target="/xl/worksheets/sheet7.xml" Id="R0d3f3ee19dab4ee9" /><Relationship Type="http://schemas.openxmlformats.org/officeDocument/2006/relationships/worksheet" Target="/xl/worksheets/sheet8.xml" Id="R79c88d580de742b4" /><Relationship Type="http://schemas.openxmlformats.org/officeDocument/2006/relationships/worksheet" Target="/xl/worksheets/sheet9.xml" Id="Rf1eb0a9d856f49c9" /><Relationship Type="http://schemas.openxmlformats.org/officeDocument/2006/relationships/worksheet" Target="/xl/worksheets/sheet10.xml" Id="R3b6cd0abc0a0424a" /><Relationship Type="http://schemas.openxmlformats.org/officeDocument/2006/relationships/worksheet" Target="/xl/worksheets/sheet11.xml" Id="Re917b3a97e86493b" /><Relationship Type="http://schemas.openxmlformats.org/officeDocument/2006/relationships/worksheet" Target="/xl/worksheets/sheet12.xml" Id="R255f83dc694645ee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41069a65b44b42f1" /><Relationship Type="http://schemas.openxmlformats.org/officeDocument/2006/relationships/chart" Target="/xl/drawings/charts/chart2.xml" Id="Rf4b5c3f94fc44f96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VNINDEX Close (fallback/vnstock refreshed)</a:t>
            </a:r>
          </a:p>
        </c:rich>
      </c:tx>
      <c:overlay val="0"/>
    </c:title>
    <c:autoTitleDeleted val="0"/>
    <c:plotArea>
      <c:layout/>
      <c:lineChart>
        <c:ser>
          <c:idx val="0"/>
          <c:order val="0"/>
          <c:tx>
            <c:v>VNINDEX Close</c:v>
          </c:tx>
          <c:cat>
            <c:strRef>
              <c:f>'Market_Data_vnstock'!$A$4:$A$189</c:f>
              <c:strCache>
                <c:ptCount val="0"/>
              </c:strCache>
            </c:strRef>
          </c:cat>
          <c:val>
            <c:numRef>
              <c:f>'Market_Data_vnstock'!$B$4:$B$189</c:f>
              <c:numCache>
                <c:formatCode>#,##0;[Red](#,##0);-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Risk Limits Status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Metric</c:v>
          </c:tx>
          <c:cat>
            <c:strRef>
              <c:f>'Risk_Limits'!$A$3:$A$10</c:f>
              <c:strCache>
                <c:ptCount val="0"/>
              </c:strCache>
            </c:strRef>
          </c:cat>
          <c:val>
            <c:numRef>
              <c:f>'Risk_Limits'!$B$3:$B$10</c:f>
              <c:numCache>
                <c:formatCode/>
                <c:ptCount val="0"/>
              </c:numCache>
            </c:numRef>
          </c:val>
        </c:ser>
        <c:ser>
          <c:idx val="1"/>
          <c:order val="1"/>
          <c:tx>
            <c:v>Green Threshold</c:v>
          </c:tx>
          <c:cat>
            <c:strRef>
              <c:f>'Risk_Limits'!$A$3:$A$10</c:f>
              <c:strCache>
                <c:ptCount val="0"/>
              </c:strCache>
            </c:strRef>
          </c:cat>
          <c:val>
            <c:numRef>
              <c:f>'Risk_Limits'!$C$3:$C$10</c:f>
              <c:numCache>
                <c:formatCode/>
                <c:ptCount val="0"/>
              </c:numCache>
            </c:numRef>
          </c:val>
        </c:ser>
        <c:ser>
          <c:idx val="2"/>
          <c:order val="2"/>
          <c:tx>
            <c:v>Amber Threshold</c:v>
          </c:tx>
          <c:cat>
            <c:strRef>
              <c:f>'Risk_Limits'!$A$3:$A$10</c:f>
              <c:strCache>
                <c:ptCount val="0"/>
              </c:strCache>
            </c:strRef>
          </c:cat>
          <c:val>
            <c:numRef>
              <c:f>'Risk_Limits'!$D$3:$D$10</c:f>
              <c:numCache>
                <c:formatCode/>
                <c:ptCount val="0"/>
              </c:numCache>
            </c:numRef>
          </c:val>
        </c:ser>
        <c:ser>
          <c:idx val="3"/>
          <c:order val="3"/>
          <c:tx>
            <c:v>Red Threshold</c:v>
          </c:tx>
          <c:cat>
            <c:strRef>
              <c:f>'Risk_Limits'!$A$3:$A$10</c:f>
              <c:strCache>
                <c:ptCount val="0"/>
              </c:strCache>
            </c:strRef>
          </c:cat>
          <c:val>
            <c:numRef>
              <c:f>'Risk_Limits'!$E$3:$E$10</c:f>
              <c:numCache>
                <c:formatCode/>
                <c:ptCount val="0"/>
              </c:numCache>
            </c:numRef>
          </c:val>
        </c:ser>
        <c:ser>
          <c:idx val="4"/>
          <c:order val="4"/>
          <c:tx>
            <c:v>Current Value</c:v>
          </c:tx>
          <c:cat>
            <c:strRef>
              <c:f>'Risk_Limits'!$A$3:$A$10</c:f>
              <c:strCache>
                <c:ptCount val="0"/>
              </c:strCache>
            </c:strRef>
          </c:cat>
          <c:val>
            <c:numRef>
              <c:f>'Risk_Limits'!$F$3:$F$10</c:f>
              <c:numCache>
                <c:formatCode>0.0%;[Red](0.0%);-</c:formatCode>
                <c:ptCount val="0"/>
              </c:numCache>
            </c:numRef>
          </c:val>
        </c:ser>
        <c:ser>
          <c:idx val="5"/>
          <c:order val="5"/>
          <c:tx>
            <c:v>Status</c:v>
          </c:tx>
          <c:cat>
            <c:strRef>
              <c:f>'Risk_Limits'!$A$3:$A$10</c:f>
              <c:strCache>
                <c:ptCount val="0"/>
              </c:strCache>
            </c:strRef>
          </c:cat>
          <c:val>
            <c:numRef>
              <c:f>'Risk_Limits'!$G$3:$G$10</c:f>
              <c:numCache>
                <c:formatCode/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21</xdr:row>
      <xdr:rowOff>0</xdr:rowOff>
    </xdr:from>
    <xdr:to>
      <xdr:col>12</xdr:col>
      <xdr:colOff>0</xdr:colOff>
      <xdr:row>38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1069a65b44b42f1"/>
        </a:graphicData>
      </a:graphic>
    </xdr:graphicFrame>
    <xdr:clientData/>
  </xdr:twoCellAnchor>
  <xdr:twoCellAnchor>
    <xdr:from>
      <xdr:col>12</xdr:col>
      <xdr:colOff>0</xdr:colOff>
      <xdr:row>2</xdr:row>
      <xdr:rowOff>0</xdr:rowOff>
    </xdr:from>
    <xdr:to>
      <xdr:col>20</xdr:col>
      <xdr:colOff>0</xdr:colOff>
      <xdr:row>18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4b5c3f94fc44f96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3" name="RiskAppetiteTable" displayName="RiskAppetiteTable" ref="A3:H10" headerRowCount="1">
  <x:tableColumns count="8">
    <x:tableColumn id="1" name="Risk Area"/>
    <x:tableColumn id="2" name="Board Appetite"/>
    <x:tableColumn id="3" name="KRI"/>
    <x:tableColumn id="4" name="Current Value"/>
    <x:tableColumn id="5" name="Limit / Trigger"/>
    <x:tableColumn id="6" name="Status"/>
    <x:tableColumn id="7" name="Management Action"/>
    <x:tableColumn id="8" name="Owner"/>
  </x:tableColumns>
  <x:tableStyleInfo name="TableStyleMedium2" showRowStripes="1"/>
</x:table>
</file>

<file path=xl/tables/table2.xml><?xml version="1.0" encoding="utf-8"?>
<x:table xmlns:x="http://schemas.openxmlformats.org/spreadsheetml/2006/main" id="4" name="KRILibraryTable" displayName="KRILibraryTable" ref="A3:I11" headerRowCount="1">
  <x:tableColumns count="9">
    <x:tableColumn id="1" name="KRI ID"/>
    <x:tableColumn id="2" name="Risk Type"/>
    <x:tableColumn id="3" name="Indicator"/>
    <x:tableColumn id="4" name="Definition"/>
    <x:tableColumn id="5" name="Frequency"/>
    <x:tableColumn id="6" name="Data Source"/>
    <x:tableColumn id="7" name="Green"/>
    <x:tableColumn id="8" name="Amber"/>
    <x:tableColumn id="9" name="Red"/>
  </x:tableColumns>
  <x:tableStyleInfo name="TableStyleMedium2" showRowStripes="1"/>
</x:table>
</file>

<file path=xl/tables/table3.xml><?xml version="1.0" encoding="utf-8"?>
<x:table xmlns:x="http://schemas.openxmlformats.org/spreadsheetml/2006/main" id="1" name="MarketDataTable" displayName="MarketDataTable" ref="A3:K189" headerRowCount="1">
  <x:tableColumns count="11">
    <x:tableColumn id="1" name="Date"/>
    <x:tableColumn id="2" name="VNINDEX Close"/>
    <x:tableColumn id="3" name="Daily Return"/>
    <x:tableColumn id="4" name="Volatility 20D"/>
    <x:tableColumn id="5" name="Drawdown"/>
    <x:tableColumn id="6" name="Trading Value (VND bn)"/>
    <x:tableColumn id="7" name="Foreign Net Flow (VND bn)"/>
    <x:tableColumn id="8" name="HNXINDEX Close"/>
    <x:tableColumn id="9" name="UPCOMINDEX Close"/>
    <x:tableColumn id="10" name="VN30 Close"/>
    <x:tableColumn id="11" name="Data Status"/>
  </x:tableColumns>
  <x:tableStyleInfo name="TableStyleMedium2" showRowStripes="1"/>
</x:table>
</file>

<file path=xl/tables/table4.xml><?xml version="1.0" encoding="utf-8"?>
<x:table xmlns:x="http://schemas.openxmlformats.org/spreadsheetml/2006/main" id="5" name="MarginBookTable" displayName="MarginBookTable" ref="A3:L103" headerRowCount="1">
  <x:tableColumns count="12">
    <x:tableColumn id="1" name="Account"/>
    <x:tableColumn id="2" name="Customer Group"/>
    <x:tableColumn id="3" name="Ticker"/>
    <x:tableColumn id="4" name="Sector"/>
    <x:tableColumn id="5" name="Collateral Value (VND bn)"/>
    <x:tableColumn id="6" name="Margin Loan (VND bn)"/>
    <x:tableColumn id="7" name="Equity (VND bn)"/>
    <x:tableColumn id="8" name="Margin Ratio"/>
    <x:tableColumn id="9" name="Maintenance Req."/>
    <x:tableColumn id="10" name="Excess / Shortfall"/>
    <x:tableColumn id="11" name="Status"/>
    <x:tableColumn id="12" name="Notes"/>
  </x:tableColumns>
  <x:tableStyleInfo name="TableStyleMedium2" showRowStripes="1"/>
</x:table>
</file>

<file path=xl/tables/table5.xml><?xml version="1.0" encoding="utf-8"?>
<x:table xmlns:x="http://schemas.openxmlformats.org/spreadsheetml/2006/main" id="6" name="LiquidityRiskTable" displayName="LiquidityRiskTable" ref="A3:E12" headerRowCount="1">
  <x:tableColumns count="5">
    <x:tableColumn id="1" name="Item"/>
    <x:tableColumn id="2" name="Amount (VND bn)"/>
    <x:tableColumn id="3" name="Haircut / Stress"/>
    <x:tableColumn id="4" name="Stressed Amount (VND bn)"/>
    <x:tableColumn id="5" name="Notes"/>
  </x:tableColumns>
  <x:tableStyleInfo name="TableStyleMedium2" showRowStripes="1"/>
</x:table>
</file>

<file path=xl/tables/table6.xml><?xml version="1.0" encoding="utf-8"?>
<x:table xmlns:x="http://schemas.openxmlformats.org/spreadsheetml/2006/main" id="7" name="OperationalRiskTable" displayName="OperationalRiskTable" ref="A3:H33" headerRowCount="1">
  <x:tableColumns count="8">
    <x:tableColumn id="1" name="Date"/>
    <x:tableColumn id="2" name="Risk Event"/>
    <x:tableColumn id="3" name="Category"/>
    <x:tableColumn id="4" name="Business Unit"/>
    <x:tableColumn id="5" name="Impact (VND mn)"/>
    <x:tableColumn id="6" name="Severity"/>
    <x:tableColumn id="7" name="Status"/>
    <x:tableColumn id="8" name="Root Cause / Action"/>
  </x:tableColumns>
  <x:tableStyleInfo name="TableStyleMedium2" showRowStripes="1"/>
</x:table>
</file>

<file path=xl/tables/table7.xml><?xml version="1.0" encoding="utf-8"?>
<x:table xmlns:x="http://schemas.openxmlformats.org/spreadsheetml/2006/main" id="2" name="RiskLimitsTable" displayName="RiskLimitsTable" ref="A2:G10" headerRowCount="1">
  <x:tableColumns count="7">
    <x:tableColumn id="1" name="Risk Area"/>
    <x:tableColumn id="2" name="Metric"/>
    <x:tableColumn id="3" name="Green Threshold"/>
    <x:tableColumn id="4" name="Amber Threshold"/>
    <x:tableColumn id="5" name="Red Threshold"/>
    <x:tableColumn id="6" name="Current Value"/>
    <x:tableColumn id="7" name="Status"/>
  </x:tableColumns>
  <x:tableStyleInfo name="TableStyleMedium2" showRowStripes="1"/>
</x:table>
</file>

<file path=xl/tables/table8.xml><?xml version="1.0" encoding="utf-8"?>
<x:table xmlns:x="http://schemas.openxmlformats.org/spreadsheetml/2006/main" id="8" name="StressTestTable" displayName="StressTestTable" ref="A3:I8" headerRowCount="1">
  <x:tableColumns count="9">
    <x:tableColumn id="1" name="Scenario"/>
    <x:tableColumn id="2" name="VNINDEX Shock"/>
    <x:tableColumn id="3" name="Liquidity Haircut"/>
    <x:tableColumn id="4" name="Foreign Flow Shock (VND bn)"/>
    <x:tableColumn id="5" name="Margin Loan Shock"/>
    <x:tableColumn id="6" name="Estimated Market Loss"/>
    <x:tableColumn id="7" name="Estimated Liquidity Gap"/>
    <x:tableColumn id="8" name="Estimated Forced Sell Accounts"/>
    <x:tableColumn id="9" name="Status"/>
  </x:tableColumns>
  <x:tableStyleInfo name="TableStyleMedium2" showRowStripes="1"/>
</x:table>
</file>

<file path=xl/tables/table9.xml><?xml version="1.0" encoding="utf-8"?>
<x:table xmlns:x="http://schemas.openxmlformats.org/spreadsheetml/2006/main" id="9" name="DataDictionaryTable" displayName="DataDictionaryTable" ref="A3:E13" headerRowCount="1">
  <x:tableColumns count="5">
    <x:tableColumn id="1" name="Sheet"/>
    <x:tableColumn id="2" name="Field / Area"/>
    <x:tableColumn id="3" name="Description"/>
    <x:tableColumn id="4" name="Source"/>
    <x:tableColumn id="5" name="Update Frequency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8641028c9fa444d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97bdf8954d049b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507c876d8fd458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cea222174b045e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058b3e5d99e427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25d21231e95942b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d368415ddf434ab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5612242602014be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d598ae5bcfac496d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fdea612ef46841c6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6" hidden="0" customWidth="1"/>
    <x:col min="3" max="3" width="10" hidden="0" customWidth="1"/>
    <x:col min="4" max="4" width="22" hidden="0" customWidth="1"/>
    <x:col min="5" max="5" width="28" hidden="0" customWidth="1"/>
    <x:col min="6" max="6" width="16" hidden="0" customWidth="1"/>
    <x:col min="7" max="7" width="12" hidden="0" customWidth="1"/>
    <x:col min="8" max="8" width="18" hidden="0" customWidth="1"/>
    <x:col min="9" max="9" width="44" hidden="0" customWidth="1"/>
    <x:col min="10" max="10" width="12" hidden="0" customWidth="1"/>
    <x:col min="11" max="11" width="42" hidden="0" customWidth="1"/>
    <x:col min="12" max="12" width="12" hidden="0" customWidth="1"/>
  </x:cols>
  <x:sheetData>
    <x:row r="1" ht="24" customHeight="1">
      <x:c r="A1" s="62" t="str">
        <x:v>Securities Company CRO Command Center - V3 Master</x:v>
      </x:c>
    </x:row>
    <x:row r="3">
      <x:c r="A3" s="13" t="str">
        <x:v>Overall Risk Status</x:v>
      </x:c>
      <x:c r="D3" s="13" t="str">
        <x:v>Board-level KRI Summary</x:v>
      </x:c>
    </x:row>
    <x:row r="4">
      <x:c r="A4" s="7" t="str">
        <x:v>Overall Status</x:v>
      </x:c>
      <x:c r="B4" s="37" t="str">
        <x:f>IF(COUNTIF(Risk_Limits!G3:G10,"RED")&gt;0,"RED",IF(COUNTIF(Risk_Limits!G3:G10,"AMBER")&gt;0,"AMBER","GREEN"))</x:f>
        <x:v>RED</x:v>
      </x:c>
      <x:c r="D4" s="20" t="str">
        <x:v>Risk Area</x:v>
      </x:c>
      <x:c r="E4" s="20" t="str">
        <x:v>Metric</x:v>
      </x:c>
      <x:c r="F4" s="20" t="str">
        <x:v>Current Value</x:v>
      </x:c>
      <x:c r="G4" s="20" t="str">
        <x:v>Status</x:v>
      </x:c>
      <x:c r="H4" s="20" t="str">
        <x:v>Owner</x:v>
      </x:c>
      <x:c r="I4" s="20" t="str">
        <x:v>Action</x:v>
      </x:c>
      <x:c r="J4" s="20" t="str">
        <x:v>Source</x:v>
      </x:c>
    </x:row>
    <x:row r="5">
      <x:c r="A5" s="7" t="str">
        <x:v>Red KRIs</x:v>
      </x:c>
      <x:c r="B5" s="37" t="n">
        <x:f>COUNTIF(Risk_Limits!G3:G10,"RED")</x:f>
        <x:v>1</x:v>
      </x:c>
      <x:c r="D5" s="37" t="str">
        <x:f>Risk_Appetite!A4</x:f>
        <x:v>Market Risk</x:v>
      </x:c>
      <x:c r="E5" s="37" t="str">
        <x:f>Risk_Appetite!C4</x:f>
        <x:v>VNINDEX Volatility 20D</x:v>
      </x:c>
      <x:c r="F5" s="36" t="n">
        <x:f>Risk_Appetite!D4</x:f>
        <x:v>0.1321280123133161</x:v>
      </x:c>
      <x:c r="G5" s="37" t="str">
        <x:f>Risk_Appetite!F4</x:f>
        <x:v>GREEN</x:v>
      </x:c>
      <x:c r="H5" s="37" t="str">
        <x:f>Risk_Appetite!H4</x:f>
        <x:v>Risk Management</x:v>
      </x:c>
      <x:c r="I5" s="42" t="str">
        <x:f>Risk_Appetite!G4</x:f>
        <x:v>Review proprietary trading exposure; reduce beta if Red</x:v>
      </x:c>
      <x:c r="J5" s="37" t="str">
        <x:v>Linked</x:v>
      </x:c>
    </x:row>
    <x:row r="6">
      <x:c r="A6" s="7" t="str">
        <x:v>Amber KRIs</x:v>
      </x:c>
      <x:c r="B6" s="37" t="n">
        <x:f>COUNTIF(Risk_Limits!G3:G10,"AMBER")</x:f>
        <x:v>3</x:v>
      </x:c>
      <x:c r="D6" s="37" t="str">
        <x:f>Risk_Appetite!A5</x:f>
        <x:v>Market Risk</x:v>
      </x:c>
      <x:c r="E6" s="37" t="str">
        <x:f>Risk_Appetite!C5</x:f>
        <x:v>VNINDEX Drawdown</x:v>
      </x:c>
      <x:c r="F6" s="36" t="n">
        <x:f>Risk_Appetite!D5</x:f>
        <x:v>0.11281453341858794</x:v>
      </x:c>
      <x:c r="G6" s="37" t="str">
        <x:f>Risk_Appetite!F5</x:f>
        <x:v>AMBER</x:v>
      </x:c>
      <x:c r="H6" s="37" t="str">
        <x:f>Risk_Appetite!H5</x:f>
        <x:v>Risk Management</x:v>
      </x:c>
      <x:c r="I6" s="42" t="str">
        <x:f>Risk_Appetite!G5</x:f>
        <x:v>Escalate to Investment Committee</x:v>
      </x:c>
      <x:c r="J6" s="37" t="str">
        <x:v>Linked</x:v>
      </x:c>
    </x:row>
    <x:row r="7">
      <x:c r="A7" s="7" t="str">
        <x:v>Green KRIs</x:v>
      </x:c>
      <x:c r="B7" s="37" t="n">
        <x:f>COUNTIF(Risk_Limits!G3:G10,"GREEN")</x:f>
        <x:v>4</x:v>
      </x:c>
      <x:c r="D7" s="37" t="str">
        <x:f>Risk_Appetite!A6</x:f>
        <x:v>Margin Risk</x:v>
      </x:c>
      <x:c r="E7" s="37" t="str">
        <x:f>Risk_Appetite!C6</x:f>
        <x:v>Top 10 Margin Exposure</x:v>
      </x:c>
      <x:c r="F7" s="36" t="n">
        <x:f>Risk_Appetite!D6</x:f>
        <x:v>0.22623809177514373</x:v>
      </x:c>
      <x:c r="G7" s="37" t="str">
        <x:f>Risk_Appetite!F6</x:f>
        <x:v>GREEN</x:v>
      </x:c>
      <x:c r="H7" s="37" t="str">
        <x:f>Risk_Appetite!H6</x:f>
        <x:v>Risk + Brokerage</x:v>
      </x:c>
      <x:c r="I7" s="42" t="str">
        <x:f>Risk_Appetite!G6</x:f>
        <x:v>Tighten margin limits, review top accounts</x:v>
      </x:c>
      <x:c r="J7" s="37" t="str">
        <x:v>Linked</x:v>
      </x:c>
    </x:row>
    <x:row r="8">
      <x:c r="A8" s="7" t="str">
        <x:v>Last Market Data Date</x:v>
      </x:c>
      <x:c r="B8" s="64" t="n">
        <x:f>MAX(Market_Data_vnstock!A4:A189)</x:f>
        <x:v>45917</x:v>
      </x:c>
      <x:c r="D8" s="37" t="str">
        <x:f>Risk_Appetite!A7</x:f>
        <x:v>Margin Risk</x:v>
      </x:c>
      <x:c r="E8" s="37" t="str">
        <x:f>Risk_Appetite!C7</x:f>
        <x:v>Forced Sell Candidates</x:v>
      </x:c>
      <x:c r="F8" s="37" t="n">
        <x:f>Risk_Appetite!D7</x:f>
        <x:v>0</x:v>
      </x:c>
      <x:c r="G8" s="37" t="str">
        <x:f>Risk_Appetite!F7</x:f>
        <x:v>GREEN</x:v>
      </x:c>
      <x:c r="H8" s="37" t="str">
        <x:f>Risk_Appetite!H7</x:f>
        <x:v>Brokerage Operations</x:v>
      </x:c>
      <x:c r="I8" s="42" t="str">
        <x:f>Risk_Appetite!G7</x:f>
        <x:v>Activate margin call action plan</x:v>
      </x:c>
      <x:c r="J8" s="37" t="str">
        <x:v>Linked</x:v>
      </x:c>
    </x:row>
    <x:row r="9">
      <x:c r="D9" s="37" t="str">
        <x:f>Risk_Appetite!A8</x:f>
        <x:v>Liquidity Risk</x:v>
      </x:c>
      <x:c r="E9" s="37" t="str">
        <x:f>Risk_Appetite!C8</x:f>
        <x:v>Liquidity Coverage Ratio</x:v>
      </x:c>
      <x:c r="F9" s="36" t="n">
        <x:f>Risk_Appetite!D8</x:f>
        <x:v>1.173913043478261</x:v>
      </x:c>
      <x:c r="G9" s="37" t="str">
        <x:f>Risk_Appetite!F8</x:f>
        <x:v>AMBER</x:v>
      </x:c>
      <x:c r="H9" s="37" t="str">
        <x:f>Risk_Appetite!H8</x:f>
        <x:v>Treasury</x:v>
      </x:c>
      <x:c r="I9" s="42" t="str">
        <x:f>Risk_Appetite!G8</x:f>
        <x:v>Secure credit line, reduce cash outflow</x:v>
      </x:c>
      <x:c r="J9" s="37" t="str">
        <x:v>Linked</x:v>
      </x:c>
    </x:row>
    <x:row r="10">
      <x:c r="D10" s="37" t="str">
        <x:f>Risk_Appetite!A9</x:f>
        <x:v>Operational Risk</x:v>
      </x:c>
      <x:c r="E10" s="37" t="str">
        <x:f>Risk_Appetite!C9</x:f>
        <x:v>Monthly Incidents</x:v>
      </x:c>
      <x:c r="F10" s="37" t="n">
        <x:f>Risk_Appetite!D9</x:f>
        <x:v>30</x:v>
      </x:c>
      <x:c r="G10" s="37" t="str">
        <x:f>Risk_Appetite!F9</x:f>
        <x:v>RED</x:v>
      </x:c>
      <x:c r="H10" s="37" t="str">
        <x:f>Risk_Appetite!H9</x:f>
        <x:v>Operations</x:v>
      </x:c>
      <x:c r="I10" s="42" t="str">
        <x:f>Risk_Appetite!G9</x:f>
        <x:v>Root-cause analysis and remediation</x:v>
      </x:c>
      <x:c r="J10" s="37" t="str">
        <x:v>Linked</x:v>
      </x:c>
    </x:row>
    <x:row r="11">
      <x:c r="A11" s="13" t="str">
        <x:v>Market Risk Snapshot</x:v>
      </x:c>
      <x:c r="D11" s="37" t="str">
        <x:f>Risk_Appetite!A10</x:f>
        <x:v>Compliance Risk</x:v>
      </x:c>
      <x:c r="E11" s="37" t="str">
        <x:f>Risk_Appetite!C10</x:f>
        <x:v>Open Overdue Actions</x:v>
      </x:c>
      <x:c r="F11" s="37" t="n">
        <x:f>Risk_Appetite!D10</x:f>
        <x:v>2</x:v>
      </x:c>
      <x:c r="G11" s="37" t="str">
        <x:f>Risk_Appetite!F10</x:f>
        <x:v>AMBER</x:v>
      </x:c>
      <x:c r="H11" s="37" t="str">
        <x:f>Risk_Appetite!H10</x:f>
        <x:v>Compliance</x:v>
      </x:c>
      <x:c r="I11" s="42" t="str">
        <x:f>Risk_Appetite!G10</x:f>
        <x:v>Escalate to CEO/Compliance Committee</x:v>
      </x:c>
      <x:c r="J11" s="37" t="str">
        <x:v>Linked</x:v>
      </x:c>
    </x:row>
    <x:row r="12">
      <x:c r="A12" s="7" t="str">
        <x:v>VNINDEX Latest</x:v>
      </x:c>
      <x:c r="B12" s="38" t="n">
        <x:f>Market_Data_vnstock!B189</x:f>
        <x:v>1179.38</x:v>
      </x:c>
      <x:c r="C12" t="str">
        <x:v>pts</x:v>
      </x:c>
    </x:row>
    <x:row r="13">
      <x:c r="A13" s="7" t="str">
        <x:v>Daily Return</x:v>
      </x:c>
      <x:c r="B13" s="36" t="n">
        <x:f>Market_Data_vnstock!C189</x:f>
        <x:v>0.00989878577178005</x:v>
      </x:c>
      <x:c r="C13" t="str">
        <x:v>%</x:v>
      </x:c>
    </x:row>
    <x:row r="14">
      <x:c r="A14" s="7" t="str">
        <x:v>20D Volatility</x:v>
      </x:c>
      <x:c r="B14" s="36" t="n">
        <x:f>Market_Data_vnstock!D189</x:f>
        <x:v>0.1321280123133161</x:v>
      </x:c>
      <x:c r="C14" t="str">
        <x:v>%</x:v>
      </x:c>
      <x:c r="D14" s="13" t="str">
        <x:v>Stress Test Summary</x:v>
      </x:c>
    </x:row>
    <x:row r="15">
      <x:c r="A15" s="7" t="str">
        <x:v>Drawdown</x:v>
      </x:c>
      <x:c r="B15" s="36" t="n">
        <x:f>Market_Data_vnstock!E189</x:f>
        <x:v>-0.11281453341858794</x:v>
      </x:c>
      <x:c r="C15" t="str">
        <x:v>%</x:v>
      </x:c>
      <x:c r="D15" s="20" t="str">
        <x:v>Scenario</x:v>
      </x:c>
      <x:c r="E15" s="20" t="str">
        <x:v>VNINDEX Shock</x:v>
      </x:c>
      <x:c r="F15" s="20" t="str">
        <x:v>Liquidity Haircut</x:v>
      </x:c>
      <x:c r="G15" s="20" t="str">
        <x:v>Market Loss</x:v>
      </x:c>
      <x:c r="H15" s="20" t="str">
        <x:v>Liquidity LCR</x:v>
      </x:c>
      <x:c r="I15" s="20" t="str">
        <x:v>Forced Sell</x:v>
      </x:c>
      <x:c r="J15" s="20" t="str">
        <x:v>Status</x:v>
      </x:c>
      <x:c r="K15" s="20" t="str">
        <x:v>Management Interpretation</x:v>
      </x:c>
      <x:c r="L15" s="20" t="str">
        <x:v>Priority</x:v>
      </x:c>
    </x:row>
    <x:row r="16">
      <x:c r="A16" s="7" t="str">
        <x:v>Trading Value</x:v>
      </x:c>
      <x:c r="B16" s="38" t="n">
        <x:f>Market_Data_vnstock!F189</x:f>
        <x:v>26788</x:v>
      </x:c>
      <x:c r="C16" t="str">
        <x:v>VND bn</x:v>
      </x:c>
      <x:c r="D16" s="37" t="str">
        <x:f>Stress_Test!A4</x:f>
        <x:v>Base</x:v>
      </x:c>
      <x:c r="E16" s="36" t="n">
        <x:f>Stress_Test!B4</x:f>
        <x:v>0</x:v>
      </x:c>
      <x:c r="F16" s="36" t="n">
        <x:f>Stress_Test!C4</x:f>
        <x:v>0</x:v>
      </x:c>
      <x:c r="G16" s="38" t="n">
        <x:f>Stress_Test!F4</x:f>
        <x:v>0</x:v>
      </x:c>
      <x:c r="H16" s="36" t="n">
        <x:f>Stress_Test!G4</x:f>
        <x:v>0.17391304347826098</x:v>
      </x:c>
      <x:c r="I16" s="38" t="n">
        <x:f>Stress_Test!H4</x:f>
        <x:v>0</x:v>
      </x:c>
      <x:c r="J16" s="37" t="str">
        <x:f>Stress_Test!I4</x:f>
        <x:v>RED</x:v>
      </x:c>
      <x:c r="K16" s="42" t="str">
        <x:v>Review scenario impact and prepare escalation if status is Amber/Red</x:v>
      </x:c>
      <x:c r="L16" s="37" t="str">
        <x:f>IF(J16="RED","High",IF(J16="AMBER","Medium","Normal"))</x:f>
        <x:v>High</x:v>
      </x:c>
    </x:row>
    <x:row r="17">
      <x:c r="A17" s="7" t="str">
        <x:v>Foreign Flow</x:v>
      </x:c>
      <x:c r="B17" s="38" t="n">
        <x:f>Market_Data_vnstock!G189</x:f>
        <x:v>-405</x:v>
      </x:c>
      <x:c r="C17" t="str">
        <x:v>VND bn</x:v>
      </x:c>
      <x:c r="D17" s="37" t="str">
        <x:f>Stress_Test!A5</x:f>
        <x:v>Mild sell-off</x:v>
      </x:c>
      <x:c r="E17" s="36" t="n">
        <x:f>Stress_Test!B5</x:f>
        <x:v>-0.1</x:v>
      </x:c>
      <x:c r="F17" s="36" t="n">
        <x:f>Stress_Test!C5</x:f>
        <x:v>0.1</x:v>
      </x:c>
      <x:c r="G17" s="38" t="n">
        <x:f>Stress_Test!F5</x:f>
        <x:v>275.01999999999987</x:v>
      </x:c>
      <x:c r="H17" s="36" t="n">
        <x:f>Stress_Test!G5</x:f>
        <x:v>1.056521739130435</x:v>
      </x:c>
      <x:c r="I17" s="38" t="n">
        <x:f>Stress_Test!H5</x:f>
        <x:v>2</x:v>
      </x:c>
      <x:c r="J17" s="37" t="str">
        <x:f>Stress_Test!I5</x:f>
        <x:v>AMBER</x:v>
      </x:c>
      <x:c r="K17" s="42" t="str">
        <x:v>Review scenario impact and prepare escalation if status is Amber/Red</x:v>
      </x:c>
      <x:c r="L17" s="37" t="str">
        <x:f>IF(J17="RED","High",IF(J17="AMBER","Medium","Normal"))</x:f>
        <x:v>Medium</x:v>
      </x:c>
    </x:row>
    <x:row r="18">
      <x:c r="D18" s="37" t="str">
        <x:f>Stress_Test!A6</x:f>
        <x:v>Severe sell-off</x:v>
      </x:c>
      <x:c r="E18" s="36" t="n">
        <x:f>Stress_Test!B6</x:f>
        <x:v>-0.2</x:v>
      </x:c>
      <x:c r="F18" s="36" t="n">
        <x:f>Stress_Test!C6</x:f>
        <x:v>0.25</x:v>
      </x:c>
      <x:c r="G18" s="38" t="n">
        <x:f>Stress_Test!F6</x:f>
        <x:v>550.0399999999997</x:v>
      </x:c>
      <x:c r="H18" s="36" t="n">
        <x:f>Stress_Test!G6</x:f>
        <x:v>0.8804347826086958</x:v>
      </x:c>
      <x:c r="I18" s="38" t="n">
        <x:f>Stress_Test!H6</x:f>
        <x:v>6</x:v>
      </x:c>
      <x:c r="J18" s="37" t="str">
        <x:f>Stress_Test!I6</x:f>
        <x:v>RED</x:v>
      </x:c>
      <x:c r="K18" s="42" t="str">
        <x:v>Review scenario impact and prepare escalation if status is Amber/Red</x:v>
      </x:c>
      <x:c r="L18" s="37" t="str">
        <x:f>IF(J18="RED","High",IF(J18="AMBER","Medium","Normal"))</x:f>
        <x:v>High</x:v>
      </x:c>
    </x:row>
    <x:row r="19">
      <x:c r="D19" s="37" t="str">
        <x:f>Stress_Test!A7</x:f>
        <x:v>Crisis</x:v>
      </x:c>
      <x:c r="E19" s="36" t="n">
        <x:f>Stress_Test!B7</x:f>
        <x:v>-0.35</x:v>
      </x:c>
      <x:c r="F19" s="36" t="n">
        <x:f>Stress_Test!C7</x:f>
        <x:v>0.45</x:v>
      </x:c>
      <x:c r="G19" s="38" t="n">
        <x:f>Stress_Test!F7</x:f>
        <x:v>962.5699999999994</x:v>
      </x:c>
      <x:c r="H19" s="36" t="n">
        <x:f>Stress_Test!G7</x:f>
        <x:v>0.6456521739130436</x:v>
      </x:c>
      <x:c r="I19" s="38" t="n">
        <x:f>Stress_Test!H7</x:f>
        <x:v>12</x:v>
      </x:c>
      <x:c r="J19" s="37" t="str">
        <x:f>Stress_Test!I7</x:f>
        <x:v>RED</x:v>
      </x:c>
      <x:c r="K19" s="42" t="str">
        <x:v>Review scenario impact and prepare escalation if status is Amber/Red</x:v>
      </x:c>
      <x:c r="L19" s="37" t="str">
        <x:f>IF(J19="RED","High",IF(J19="AMBER","Medium","Normal"))</x:f>
        <x:v>High</x:v>
      </x:c>
    </x:row>
    <x:row r="20">
      <x:c r="A20" s="13" t="str">
        <x:v>Internal Risk Snapshot</x:v>
      </x:c>
      <x:c r="D20" s="37" t="str">
        <x:f>Stress_Test!A8</x:f>
        <x:v>Rate shock + liquidity squeeze</x:v>
      </x:c>
      <x:c r="E20" s="36" t="n">
        <x:f>Stress_Test!B8</x:f>
        <x:v>-0.15</x:v>
      </x:c>
      <x:c r="F20" s="36" t="n">
        <x:f>Stress_Test!C8</x:f>
        <x:v>0.35</x:v>
      </x:c>
      <x:c r="G20" s="38" t="n">
        <x:f>Stress_Test!F8</x:f>
        <x:v>412.52999999999975</x:v>
      </x:c>
      <x:c r="H20" s="36" t="n">
        <x:f>Stress_Test!G8</x:f>
        <x:v>0.7630434782608697</x:v>
      </x:c>
      <x:c r="I20" s="38" t="n">
        <x:f>Stress_Test!H8</x:f>
        <x:v>8</x:v>
      </x:c>
      <x:c r="J20" s="37" t="str">
        <x:f>Stress_Test!I8</x:f>
        <x:v>RED</x:v>
      </x:c>
      <x:c r="K20" s="42" t="str">
        <x:v>Review scenario impact and prepare escalation if status is Amber/Red</x:v>
      </x:c>
      <x:c r="L20" s="37" t="str">
        <x:f>IF(J20="RED","High",IF(J20="AMBER","Medium","Normal"))</x:f>
        <x:v>High</x:v>
      </x:c>
    </x:row>
    <x:row r="21">
      <x:c r="A21" s="7" t="str">
        <x:v>Total Margin Loan</x:v>
      </x:c>
      <x:c r="B21" s="38" t="n">
        <x:f>Margin_Book!O5</x:f>
        <x:v>2750.1999999999985</x:v>
      </x:c>
      <x:c r="C21" t="str">
        <x:v>VND bn</x:v>
      </x:c>
    </x:row>
    <x:row r="22">
      <x:c r="A22" s="7" t="str">
        <x:v>Top 10 Concentration</x:v>
      </x:c>
      <x:c r="B22" s="36" t="n">
        <x:f>Margin_Book!O7</x:f>
        <x:v>0.22623809177514373</x:v>
      </x:c>
      <x:c r="C22" t="str">
        <x:v>%</x:v>
      </x:c>
    </x:row>
    <x:row r="23">
      <x:c r="A23" s="7" t="str">
        <x:v>Forced Sell Candidates</x:v>
      </x:c>
      <x:c r="B23" s="38" t="n">
        <x:f>Margin_Book!O8</x:f>
        <x:v>0</x:v>
      </x:c>
      <x:c r="C23" t="str">
        <x:v>accounts</x:v>
      </x:c>
    </x:row>
    <x:row r="24">
      <x:c r="A24" s="7" t="str">
        <x:v>Liquidity Coverage Ratio</x:v>
      </x:c>
      <x:c r="B24" s="36" t="n">
        <x:f>Liquidity_Risk!B12</x:f>
        <x:v>1.173913043478261</x:v>
      </x:c>
      <x:c r="C24" t="str">
        <x:v>%</x:v>
      </x:c>
    </x:row>
    <x:row r="25">
      <x:c r="A25" s="7" t="str">
        <x:v>Monthly Incident Count</x:v>
      </x:c>
      <x:c r="B25" s="38" t="n">
        <x:f>Operational_Risk!K4</x:f>
        <x:v>30</x:v>
      </x:c>
      <x:c r="C25" t="str">
        <x:v>incidents</x:v>
      </x:c>
    </x:row>
    <x:row r="26">
      <x:c r="A26" s="7" t="str">
        <x:v>High Severity Incidents</x:v>
      </x:c>
      <x:c r="B26" s="38" t="n">
        <x:f>Operational_Risk!K5</x:f>
        <x:v>6</x:v>
      </x:c>
      <x:c r="C26" t="str">
        <x:v>incidents</x:v>
      </x:c>
    </x:row>
    <x:row r="27">
      <x:c r="A27" s="7" t="str">
        <x:v>Open Incidents</x:v>
      </x:c>
      <x:c r="B27" s="38" t="n">
        <x:f>Operational_Risk!K6</x:f>
        <x:v>12</x:v>
      </x:c>
      <x:c r="C27" t="str">
        <x:v>incidents</x:v>
      </x:c>
    </x:row>
    <x:row r="30" ht="48" customHeight="1">
      <x:c r="A30" s="67" t="str">
        <x:v>Note: Market_Data_vnstock contains fallback dummy values. Streamlit/Python package should refresh this sheet from vnstock. Public_Context values include source URLs and placeholders for manual update. Internal risk inputs are intentionally editable.</x:v>
      </x:c>
    </x:row>
    <x:row r="31" ht="48" customHeight="1"/>
    <x:row r="32" ht="48" customHeight="1"/>
  </x:sheetData>
  <x:mergeCells>
    <x:mergeCell ref="A1:L1"/>
    <x:mergeCell ref="A3:D3"/>
    <x:mergeCell ref="D3:L3"/>
    <x:mergeCell ref="A11:C11"/>
    <x:mergeCell ref="A20:C20"/>
    <x:mergeCell ref="D14:L14"/>
    <x:mergeCell ref="A30:L32"/>
  </x:mergeCells>
  <x:conditionalFormatting sqref="G5:G11">
    <x:cfRule type="expression" dxfId="9" priority="1">
      <x:formula>G5="RED"</x:formula>
    </x:cfRule>
    <x:cfRule type="expression" dxfId="10" priority="2">
      <x:formula>G5="AMBER"</x:formula>
    </x:cfRule>
    <x:cfRule type="expression" dxfId="11" priority="3">
      <x:formula>G5="GREEN"</x:formula>
    </x:cfRule>
  </x:conditionalFormatting>
  <x:conditionalFormatting sqref="J16:J20">
    <x:cfRule type="expression" dxfId="12" priority="4">
      <x:formula>J16="RED"</x:formula>
    </x:cfRule>
    <x:cfRule type="expression" dxfId="13" priority="5">
      <x:formula>J16="AMBER"</x:formula>
    </x:cfRule>
    <x:cfRule type="expression" dxfId="14" priority="6">
      <x:formula>J16="GREEN"</x:formula>
    </x:cfRule>
  </x:conditionalFormatting>
  <x:pageMargins left="0.7" right="0.7" top="0.75" bottom="0.75" header="0.3" footer="0.3"/>
  <x:drawing xmlns:r="http://schemas.openxmlformats.org/officeDocument/2006/relationships" r:id="R8641028c9fa444d9"/>
</x:worksheet>
</file>

<file path=xl/worksheets/sheet2.xml><?xml version="1.0" encoding="utf-8"?>
<x:worksheet xmlns:x="http://schemas.openxmlformats.org/spreadsheetml/2006/main">
  <x:sheetFormatPr defaultRowHeight="15"/>
  <x:cols>
    <x:col min="1" max="1" width="46.29999923706055" hidden="0" customWidth="1"/>
    <x:col min="2" max="2" width="49.79999923706055" hidden="0" customWidth="1"/>
    <x:col min="3" max="3" width="19.25" hidden="0" customWidth="1"/>
    <x:col min="4" max="4" width="11.170000076293945" hidden="0" customWidth="1"/>
    <x:col min="5" max="5" width="21.270000457763672" hidden="0" customWidth="1"/>
    <x:col min="6" max="6" width="5.380000114440918" hidden="0" customWidth="1"/>
    <x:col min="7" max="7" width="44.68000030517578" hidden="0" customWidth="1"/>
    <x:col min="8" max="8" width="17.229999542236328" hidden="0" customWidth="1"/>
  </x:cols>
  <x:sheetData>
    <x:row r="1">
      <x:c r="A1" s="70" t="str">
        <x:v>Risk Appetite Statement and Board-level Dashboard</x:v>
      </x:c>
      <x:c r="B1" s="10"/>
      <x:c r="C1" s="10"/>
      <x:c r="D1" s="10"/>
      <x:c r="E1" s="10"/>
      <x:c r="F1" s="10"/>
      <x:c r="G1" s="10"/>
      <x:c r="H1" s="10"/>
      <x:c r="I1" s="10"/>
      <x:c r="J1" s="10"/>
      <x:c r="K1" s="10"/>
      <x:c r="L1" s="10"/>
      <x:c r="M1" s="10"/>
      <x:c r="N1" s="10"/>
      <x:c r="O1" s="10"/>
      <x:c r="P1" s="10"/>
      <x:c r="Q1" s="10"/>
      <x:c r="R1" s="10"/>
      <x:c r="S1" s="10"/>
      <x:c r="T1" s="10"/>
      <x:c r="U1" s="10"/>
      <x:c r="V1" s="10"/>
      <x:c r="W1" s="10"/>
      <x:c r="X1" s="10"/>
      <x:c r="Y1" s="10"/>
      <x:c r="Z1" s="10"/>
    </x:row>
    <x:row r="3">
      <x:c r="A3" s="20" t="str">
        <x:v>Risk Area</x:v>
      </x:c>
      <x:c r="B3" s="20" t="str">
        <x:v>Board Appetite</x:v>
      </x:c>
      <x:c r="C3" s="20" t="str">
        <x:v>KRI</x:v>
      </x:c>
      <x:c r="D3" s="20" t="str">
        <x:v>Current Value</x:v>
      </x:c>
      <x:c r="E3" s="20" t="str">
        <x:v>Limit / Trigger</x:v>
      </x:c>
      <x:c r="F3" s="20" t="str">
        <x:v>Status</x:v>
      </x:c>
      <x:c r="G3" s="20" t="str">
        <x:v>Management Action</x:v>
      </x:c>
      <x:c r="H3" s="20" t="str">
        <x:v>Owner</x:v>
      </x:c>
    </x:row>
    <x:row r="4">
      <x:c r="A4" s="10" t="str">
        <x:v>Market Risk</x:v>
      </x:c>
      <x:c r="B4" s="10" t="str">
        <x:v>Moderate; no excessive concentration in high-volatility market</x:v>
      </x:c>
      <x:c r="C4" s="10" t="str">
        <x:v>VNINDEX Volatility 20D</x:v>
      </x:c>
      <x:c r="D4" s="44" t="n">
        <x:f>Risk_Limits!F3</x:f>
        <x:v>0.1321280123133161</x:v>
      </x:c>
      <x:c r="E4" s="10" t="str">
        <x:v>&lt;18% Green / &gt;25% Red</x:v>
      </x:c>
      <x:c r="F4" s="42" t="str">
        <x:f>Risk_Limits!G3</x:f>
        <x:v>GREEN</x:v>
      </x:c>
      <x:c r="G4" s="10" t="str">
        <x:v>Review proprietary trading exposure; reduce beta if Red</x:v>
      </x:c>
      <x:c r="H4" s="10" t="str">
        <x:v>Risk Management</x:v>
      </x:c>
    </x:row>
    <x:row r="5">
      <x:c r="A5" s="10" t="str">
        <x:v>Market Risk</x:v>
      </x:c>
      <x:c r="B5" s="10" t="str">
        <x:v>Control drawdown exposure</x:v>
      </x:c>
      <x:c r="C5" s="10" t="str">
        <x:v>VNINDEX Drawdown</x:v>
      </x:c>
      <x:c r="D5" s="44" t="n">
        <x:f>Risk_Limits!F4</x:f>
        <x:v>0.11281453341858794</x:v>
      </x:c>
      <x:c r="E5" s="10" t="str">
        <x:v>&lt;10% Green / &gt;15% Red</x:v>
      </x:c>
      <x:c r="F5" s="42" t="str">
        <x:f>Risk_Limits!G4</x:f>
        <x:v>AMBER</x:v>
      </x:c>
      <x:c r="G5" s="10" t="str">
        <x:v>Escalate to Investment Committee</x:v>
      </x:c>
      <x:c r="H5" s="10" t="str">
        <x:v>Risk Management</x:v>
      </x:c>
    </x:row>
    <x:row r="6">
      <x:c r="A6" s="10" t="str">
        <x:v>Margin Risk</x:v>
      </x:c>
      <x:c r="B6" s="10" t="str">
        <x:v>No material single-name or top borrower concentration</x:v>
      </x:c>
      <x:c r="C6" s="10" t="str">
        <x:v>Top 10 Margin Exposure</x:v>
      </x:c>
      <x:c r="D6" s="44" t="n">
        <x:f>Risk_Limits!F6</x:f>
        <x:v>0.22623809177514373</x:v>
      </x:c>
      <x:c r="E6" s="10" t="str">
        <x:v>&lt;35% Green / &gt;45% Red</x:v>
      </x:c>
      <x:c r="F6" s="42" t="str">
        <x:f>Risk_Limits!G6</x:f>
        <x:v>GREEN</x:v>
      </x:c>
      <x:c r="G6" s="10" t="str">
        <x:v>Tighten margin limits, review top accounts</x:v>
      </x:c>
      <x:c r="H6" s="10" t="str">
        <x:v>Risk + Brokerage</x:v>
      </x:c>
    </x:row>
    <x:row r="7">
      <x:c r="A7" s="10" t="str">
        <x:v>Margin Risk</x:v>
      </x:c>
      <x:c r="B7" s="10" t="str">
        <x:v>Forced sell must be controlled</x:v>
      </x:c>
      <x:c r="C7" s="10" t="str">
        <x:v>Forced Sell Candidates</x:v>
      </x:c>
      <x:c r="D7" s="42" t="n">
        <x:f>Risk_Limits!F7</x:f>
        <x:v>0</x:v>
      </x:c>
      <x:c r="E7" s="10" t="str">
        <x:v>0 Green / &gt;5 Red</x:v>
      </x:c>
      <x:c r="F7" s="42" t="str">
        <x:f>Risk_Limits!G7</x:f>
        <x:v>GREEN</x:v>
      </x:c>
      <x:c r="G7" s="10" t="str">
        <x:v>Activate margin call action plan</x:v>
      </x:c>
      <x:c r="H7" s="10" t="str">
        <x:v>Brokerage Operations</x:v>
      </x:c>
    </x:row>
    <x:row r="8">
      <x:c r="A8" s="10" t="str">
        <x:v>Liquidity Risk</x:v>
      </x:c>
      <x:c r="B8" s="10" t="str">
        <x:v>Maintain ability to withstand 30-day stress outflow</x:v>
      </x:c>
      <x:c r="C8" s="10" t="str">
        <x:v>Liquidity Coverage Ratio</x:v>
      </x:c>
      <x:c r="D8" s="44" t="n">
        <x:f>Risk_Limits!F8</x:f>
        <x:v>1.173913043478261</x:v>
      </x:c>
      <x:c r="E8" s="10" t="str">
        <x:v>&gt;120% Green / &lt;100% Red</x:v>
      </x:c>
      <x:c r="F8" s="42" t="str">
        <x:f>Risk_Limits!G8</x:f>
        <x:v>AMBER</x:v>
      </x:c>
      <x:c r="G8" s="10" t="str">
        <x:v>Secure credit line, reduce cash outflow</x:v>
      </x:c>
      <x:c r="H8" s="10" t="str">
        <x:v>Treasury</x:v>
      </x:c>
    </x:row>
    <x:row r="9">
      <x:c r="A9" s="10" t="str">
        <x:v>Operational Risk</x:v>
      </x:c>
      <x:c r="B9" s="10" t="str">
        <x:v>Maintain low incident frequency</x:v>
      </x:c>
      <x:c r="C9" s="10" t="str">
        <x:v>Monthly Incidents</x:v>
      </x:c>
      <x:c r="D9" s="42" t="n">
        <x:f>Risk_Limits!F9</x:f>
        <x:v>30</x:v>
      </x:c>
      <x:c r="E9" s="10" t="str">
        <x:v>&lt;=2 Green / &gt;5 Red</x:v>
      </x:c>
      <x:c r="F9" s="42" t="str">
        <x:f>Risk_Limits!G9</x:f>
        <x:v>RED</x:v>
      </x:c>
      <x:c r="G9" s="10" t="str">
        <x:v>Root-cause analysis and remediation</x:v>
      </x:c>
      <x:c r="H9" s="10" t="str">
        <x:v>Operations</x:v>
      </x:c>
    </x:row>
    <x:row r="10">
      <x:c r="A10" s="10" t="str">
        <x:v>Compliance Risk</x:v>
      </x:c>
      <x:c r="B10" s="10" t="str">
        <x:v>No overdue high-risk issues</x:v>
      </x:c>
      <x:c r="C10" s="10" t="str">
        <x:v>Open Overdue Actions</x:v>
      </x:c>
      <x:c r="D10" s="42" t="n">
        <x:f>Risk_Limits!F10</x:f>
        <x:v>2</x:v>
      </x:c>
      <x:c r="E10" s="10" t="str">
        <x:v>0 Green / &gt;3 Red</x:v>
      </x:c>
      <x:c r="F10" s="42" t="str">
        <x:f>Risk_Limits!G10</x:f>
        <x:v>AMBER</x:v>
      </x:c>
      <x:c r="G10" s="10" t="str">
        <x:v>Escalate to CEO/Compliance Committee</x:v>
      </x:c>
      <x:c r="H10" s="10" t="str">
        <x:v>Compliance</x:v>
      </x:c>
    </x:row>
  </x:sheetData>
  <x:mergeCells>
    <x:mergeCell ref="A1:H1"/>
  </x:mergeCells>
  <x:conditionalFormatting sqref="F4:F10">
    <x:cfRule type="expression" dxfId="3" priority="1">
      <x:formula>F4="RED"</x:formula>
    </x:cfRule>
    <x:cfRule type="expression" dxfId="4" priority="2">
      <x:formula>F4="AMBER"</x:formula>
    </x:cfRule>
    <x:cfRule type="expression" dxfId="5" priority="3">
      <x:formula>F4="GREEN"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d97bdf8954d049be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2.479999542236328" hidden="0" customWidth="1"/>
    <x:col min="2" max="2" width="9.420000076293945" hidden="0" customWidth="1"/>
    <x:col min="3" max="3" width="18.56999969482422" hidden="0" customWidth="1"/>
    <x:col min="4" max="4" width="34.86000061035156" hidden="0" customWidth="1"/>
    <x:col min="5" max="5" width="8.479999542236328" hidden="0" customWidth="1"/>
    <x:col min="6" max="6" width="16.020000457763672" hidden="0" customWidth="1"/>
    <x:col min="7" max="7" width="11.84000015258789" hidden="0" customWidth="1"/>
    <x:col min="8" max="8" width="16.020000457763672" hidden="0" customWidth="1"/>
    <x:col min="9" max="9" width="11.84000015258789" hidden="0" customWidth="1"/>
  </x:cols>
  <x:sheetData>
    <x:row r="1">
      <x:c r="A1" s="70" t="str">
        <x:v>Key Risk Indicator Library</x:v>
      </x:c>
      <x:c r="B1" s="10"/>
      <x:c r="C1" s="10"/>
      <x:c r="D1" s="10"/>
      <x:c r="E1" s="10"/>
      <x:c r="F1" s="10"/>
      <x:c r="G1" s="10"/>
      <x:c r="H1" s="10"/>
      <x:c r="I1" s="10"/>
      <x:c r="J1" s="10"/>
      <x:c r="K1" s="10"/>
      <x:c r="L1" s="10"/>
      <x:c r="M1" s="10"/>
      <x:c r="N1" s="10"/>
      <x:c r="O1" s="10"/>
      <x:c r="P1" s="10"/>
      <x:c r="Q1" s="10"/>
      <x:c r="R1" s="10"/>
      <x:c r="S1" s="10"/>
      <x:c r="T1" s="10"/>
      <x:c r="U1" s="10"/>
      <x:c r="V1" s="10"/>
      <x:c r="W1" s="10"/>
      <x:c r="X1" s="10"/>
      <x:c r="Y1" s="10"/>
      <x:c r="Z1" s="10"/>
    </x:row>
    <x:row r="3">
      <x:c r="A3" s="20" t="str">
        <x:v>KRI ID</x:v>
      </x:c>
      <x:c r="B3" s="20" t="str">
        <x:v>Risk Type</x:v>
      </x:c>
      <x:c r="C3" s="20" t="str">
        <x:v>Indicator</x:v>
      </x:c>
      <x:c r="D3" s="20" t="str">
        <x:v>Definition</x:v>
      </x:c>
      <x:c r="E3" s="20" t="str">
        <x:v>Frequency</x:v>
      </x:c>
      <x:c r="F3" s="20" t="str">
        <x:v>Data Source</x:v>
      </x:c>
      <x:c r="G3" s="20" t="str">
        <x:v>Green</x:v>
      </x:c>
      <x:c r="H3" s="20" t="str">
        <x:v>Amber</x:v>
      </x:c>
      <x:c r="I3" s="20" t="str">
        <x:v>Red</x:v>
      </x:c>
    </x:row>
    <x:row r="4">
      <x:c r="A4" s="10" t="str">
        <x:v>MR-01</x:v>
      </x:c>
      <x:c r="B4" s="10" t="str">
        <x:v>Market</x:v>
      </x:c>
      <x:c r="C4" s="10" t="str">
        <x:v>VNINDEX volatility</x:v>
      </x:c>
      <x:c r="D4" s="10" t="str">
        <x:v>20-day annualized volatility</x:v>
      </x:c>
      <x:c r="E4" s="10" t="str">
        <x:v>Daily</x:v>
      </x:c>
      <x:c r="F4" s="10" t="str">
        <x:v>vnstock</x:v>
      </x:c>
      <x:c r="G4" s="10" t="str">
        <x:v>&lt;18%</x:v>
      </x:c>
      <x:c r="H4" s="10" t="str">
        <x:v>18%-25%</x:v>
      </x:c>
      <x:c r="I4" s="10" t="str">
        <x:v>&gt;25%</x:v>
      </x:c>
    </x:row>
    <x:row r="5">
      <x:c r="A5" s="10" t="str">
        <x:v>MR-02</x:v>
      </x:c>
      <x:c r="B5" s="10" t="str">
        <x:v>Market</x:v>
      </x:c>
      <x:c r="C5" s="10" t="str">
        <x:v>VNINDEX drawdown</x:v>
      </x:c>
      <x:c r="D5" s="10" t="str">
        <x:v>Current close vs peak since start of period</x:v>
      </x:c>
      <x:c r="E5" s="10" t="str">
        <x:v>Daily</x:v>
      </x:c>
      <x:c r="F5" s="10" t="str">
        <x:v>vnstock</x:v>
      </x:c>
      <x:c r="G5" s="10" t="str">
        <x:v>&lt;10%</x:v>
      </x:c>
      <x:c r="H5" s="10" t="str">
        <x:v>10%-15%</x:v>
      </x:c>
      <x:c r="I5" s="10" t="str">
        <x:v>&gt;15%</x:v>
      </x:c>
    </x:row>
    <x:row r="6">
      <x:c r="A6" s="10" t="str">
        <x:v>MR-03</x:v>
      </x:c>
      <x:c r="B6" s="10" t="str">
        <x:v>Market</x:v>
      </x:c>
      <x:c r="C6" s="10" t="str">
        <x:v>Foreign net flow</x:v>
      </x:c>
      <x:c r="D6" s="10" t="str">
        <x:v>Daily foreign net buy/sell value</x:v>
      </x:c>
      <x:c r="E6" s="10" t="str">
        <x:v>Daily</x:v>
      </x:c>
      <x:c r="F6" s="10" t="str">
        <x:v>vnstock/public</x:v>
      </x:c>
      <x:c r="G6" s="10" t="str">
        <x:v>Net sell &lt;1,000</x:v>
      </x:c>
      <x:c r="H6" s="10" t="str">
        <x:v>Net sell 1,000-2,000</x:v>
      </x:c>
      <x:c r="I6" s="10" t="str">
        <x:v>Net sell &gt;2,000</x:v>
      </x:c>
    </x:row>
    <x:row r="7">
      <x:c r="A7" s="10" t="str">
        <x:v>MG-01</x:v>
      </x:c>
      <x:c r="B7" s="10" t="str">
        <x:v>Margin</x:v>
      </x:c>
      <x:c r="C7" s="10" t="str">
        <x:v>Top 10 concentration</x:v>
      </x:c>
      <x:c r="D7" s="10" t="str">
        <x:v>Top 10 margin loans / total margin loans</x:v>
      </x:c>
      <x:c r="E7" s="10" t="str">
        <x:v>Daily</x:v>
      </x:c>
      <x:c r="F7" s="10" t="str">
        <x:v>Internal Excel</x:v>
      </x:c>
      <x:c r="G7" s="10" t="str">
        <x:v>&lt;35%</x:v>
      </x:c>
      <x:c r="H7" s="10" t="str">
        <x:v>35%-45%</x:v>
      </x:c>
      <x:c r="I7" s="10" t="str">
        <x:v>&gt;45%</x:v>
      </x:c>
    </x:row>
    <x:row r="8">
      <x:c r="A8" s="10" t="str">
        <x:v>MG-02</x:v>
      </x:c>
      <x:c r="B8" s="10" t="str">
        <x:v>Margin</x:v>
      </x:c>
      <x:c r="C8" s="10" t="str">
        <x:v>Maintenance breach</x:v>
      </x:c>
      <x:c r="D8" s="10" t="str">
        <x:v>Accounts below maintenance margin</x:v>
      </x:c>
      <x:c r="E8" s="10" t="str">
        <x:v>Daily</x:v>
      </x:c>
      <x:c r="F8" s="10" t="str">
        <x:v>Internal Excel</x:v>
      </x:c>
      <x:c r="G8" s="10" t="str">
        <x:v>0</x:v>
      </x:c>
      <x:c r="H8" s="10" t="str">
        <x:v>1-5</x:v>
      </x:c>
      <x:c r="I8" s="10" t="str">
        <x:v>&gt;5</x:v>
      </x:c>
    </x:row>
    <x:row r="9">
      <x:c r="A9" s="10" t="str">
        <x:v>LQ-01</x:v>
      </x:c>
      <x:c r="B9" s="10" t="str">
        <x:v>Liquidity</x:v>
      </x:c>
      <x:c r="C9" s="10" t="str">
        <x:v>Liquidity coverage ratio</x:v>
      </x:c>
      <x:c r="D9" s="10" t="str">
        <x:v>Available liquidity / 30-day stressed outflow</x:v>
      </x:c>
      <x:c r="E9" s="10" t="str">
        <x:v>Daily</x:v>
      </x:c>
      <x:c r="F9" s="10" t="str">
        <x:v>Internal Treasury</x:v>
      </x:c>
      <x:c r="G9" s="10" t="str">
        <x:v>&gt;120%</x:v>
      </x:c>
      <x:c r="H9" s="10" t="str">
        <x:v>100%-120%</x:v>
      </x:c>
      <x:c r="I9" s="10" t="str">
        <x:v>&lt;100%</x:v>
      </x:c>
    </x:row>
    <x:row r="10">
      <x:c r="A10" s="10" t="str">
        <x:v>OP-01</x:v>
      </x:c>
      <x:c r="B10" s="10" t="str">
        <x:v>Operational</x:v>
      </x:c>
      <x:c r="C10" s="10" t="str">
        <x:v>Incident count</x:v>
      </x:c>
      <x:c r="D10" s="10" t="str">
        <x:v>Number of operational incidents per month</x:v>
      </x:c>
      <x:c r="E10" s="10" t="str">
        <x:v>Monthly</x:v>
      </x:c>
      <x:c r="F10" s="10" t="str">
        <x:v>Internal incident log</x:v>
      </x:c>
      <x:c r="G10" s="10" t="str">
        <x:v>&lt;=2</x:v>
      </x:c>
      <x:c r="H10" s="10" t="str">
        <x:v>3-5</x:v>
      </x:c>
      <x:c r="I10" s="10" t="str">
        <x:v>&gt;5</x:v>
      </x:c>
    </x:row>
    <x:row r="11">
      <x:c r="A11" s="10" t="str">
        <x:v>CP-01</x:v>
      </x:c>
      <x:c r="B11" s="10" t="str">
        <x:v>Compliance</x:v>
      </x:c>
      <x:c r="C11" s="10" t="str">
        <x:v>Overdue action count</x:v>
      </x:c>
      <x:c r="D11" s="10" t="str">
        <x:v>Open overdue compliance/risk action items</x:v>
      </x:c>
      <x:c r="E11" s="10" t="str">
        <x:v>Weekly</x:v>
      </x:c>
      <x:c r="F11" s="10" t="str">
        <x:v>Internal action log</x:v>
      </x:c>
      <x:c r="G11" s="10" t="str">
        <x:v>0</x:v>
      </x:c>
      <x:c r="H11" s="10" t="str">
        <x:v>1-3</x:v>
      </x:c>
      <x:c r="I11" s="10" t="str">
        <x:v>&gt;3</x:v>
      </x:c>
    </x:row>
  </x:sheetData>
  <x:mergeCells>
    <x:mergeCell ref="A1:I1"/>
  </x:mergeCells>
  <x:pageMargins left="0.7" right="0.7" top="0.75" bottom="0.75" header="0.3" footer="0.3"/>
  <x:tableParts count="1">
    <x:tablePart xmlns:r="http://schemas.openxmlformats.org/officeDocument/2006/relationships" r:id="Rb507c876d8fd4583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3.7699999809265137" hidden="0" customWidth="1"/>
    <x:col min="2" max="2" width="12.380000114440918" hidden="0" customWidth="1"/>
    <x:col min="3" max="3" width="10.09000015258789" hidden="0" customWidth="1"/>
    <x:col min="4" max="4" width="10.899999618530273" hidden="0" customWidth="1"/>
    <x:col min="5" max="5" width="8.880000114440918" hidden="0" customWidth="1"/>
    <x:col min="6" max="6" width="18.979999542236328" hidden="0" customWidth="1"/>
    <x:col min="7" max="7" width="21.799999237060547" hidden="0" customWidth="1"/>
    <x:col min="8" max="8" width="13.460000038146973" hidden="0" customWidth="1"/>
    <x:col min="9" max="9" width="16.290000915527344" hidden="0" customWidth="1"/>
    <x:col min="10" max="10" width="9.149999618530273" hidden="0" customWidth="1"/>
    <x:col min="11" max="11" width="9.289999961853027" hidden="0" customWidth="1"/>
  </x:cols>
  <x:sheetData>
    <x:row r="1">
      <x:c r="A1" s="13" t="str">
        <x:v>Market Data from vnstock / fallback template</x:v>
      </x:c>
    </x:row>
    <x:row r="3">
      <x:c r="A3" s="20" t="str">
        <x:v>Date</x:v>
      </x:c>
      <x:c r="B3" s="20" t="str">
        <x:v>VNINDEX Close</x:v>
      </x:c>
      <x:c r="C3" s="20" t="str">
        <x:v>Daily Return</x:v>
      </x:c>
      <x:c r="D3" s="20" t="str">
        <x:v>Volatility 20D</x:v>
      </x:c>
      <x:c r="E3" s="20" t="str">
        <x:v>Drawdown</x:v>
      </x:c>
      <x:c r="F3" s="20" t="str">
        <x:v>Trading Value (VND bn)</x:v>
      </x:c>
      <x:c r="G3" s="20" t="str">
        <x:v>Foreign Net Flow (VND bn)</x:v>
      </x:c>
      <x:c r="H3" s="20" t="str">
        <x:v>HNXINDEX Close</x:v>
      </x:c>
      <x:c r="I3" s="20" t="str">
        <x:v>UPCOMINDEX Close</x:v>
      </x:c>
      <x:c r="J3" s="20" t="str">
        <x:v>VN30 Close</x:v>
      </x:c>
      <x:c r="K3" s="20" t="str">
        <x:v>Data Status</x:v>
      </x:c>
    </x:row>
    <x:row r="4">
      <x:c r="A4" s="30" t="n">
        <x:v>45658</x:v>
      </x:c>
      <x:c r="B4" s="32" t="n">
        <x:v>1267.75</x:v>
      </x:c>
      <x:c r="C4" s="34" t="n">
        <x:f>IFERROR(B4/B3-1,0)</x:f>
        <x:v>0</x:v>
      </x:c>
      <x:c r="D4" s="34" t="n">
        <x:f>0</x:f>
        <x:v>0</x:v>
      </x:c>
      <x:c r="E4" s="34" t="n">
        <x:f>IFERROR(B4/MAX($B$4:B4)-1,0)</x:f>
        <x:v>0</x:v>
      </x:c>
      <x:c r="F4" s="32" t="n">
        <x:v>21802</x:v>
      </x:c>
      <x:c r="G4" s="32" t="n">
        <x:v>666</x:v>
      </x:c>
      <x:c r="H4" s="32" t="n">
        <x:v>367.65</x:v>
      </x:c>
      <x:c r="I4" s="32" t="n">
        <x:v>912.78</x:v>
      </x:c>
      <x:c r="J4" s="32" t="n">
        <x:v>1305.78</x:v>
      </x:c>
      <x:c r="K4" t="str">
        <x:v>Fallback dummy; replace by vnstock</x:v>
      </x:c>
    </x:row>
    <x:row r="5">
      <x:c r="A5" s="30" t="n">
        <x:v>45659</x:v>
      </x:c>
      <x:c r="B5" s="32" t="n">
        <x:v>1268.47</x:v>
      </x:c>
      <x:c r="C5" s="34" t="n">
        <x:f>IFERROR(B5/B4-1,0)</x:f>
        <x:v>0.0005679353184775415</x:v>
      </x:c>
      <x:c r="D5" s="34" t="n">
        <x:f>IFERROR(STDEV.S(C4:C5)*SQRT(252),0)</x:f>
        <x:v>0.006375058138773913</x:v>
      </x:c>
      <x:c r="E5" s="34" t="n">
        <x:f>IFERROR(B5/MAX($B$4:B5)-1,0)</x:f>
        <x:v>0</x:v>
      </x:c>
      <x:c r="F5" s="32" t="n">
        <x:v>13604</x:v>
      </x:c>
      <x:c r="G5" s="32" t="n">
        <x:v>758</x:v>
      </x:c>
      <x:c r="H5" s="32" t="n">
        <x:v>367.86</x:v>
      </x:c>
      <x:c r="I5" s="32" t="n">
        <x:v>913.3</x:v>
      </x:c>
      <x:c r="J5" s="32" t="n">
        <x:v>1306.53</x:v>
      </x:c>
      <x:c r="K5" t="str">
        <x:v>Fallback dummy; replace by vnstock</x:v>
      </x:c>
    </x:row>
    <x:row r="6">
      <x:c r="A6" s="30" t="n">
        <x:v>45660</x:v>
      </x:c>
      <x:c r="B6" s="32" t="n">
        <x:v>1260.62</x:v>
      </x:c>
      <x:c r="C6" s="34" t="n">
        <x:f>IFERROR(B6/B5-1,0)</x:f>
        <x:v>-0.006188557868928801</x:v>
      </x:c>
      <x:c r="D6" s="34" t="n">
        <x:f>IFERROR(STDEV.S(C4:C6)*SQRT(252),0)</x:f>
        <x:v>0.059492705157943276</x:v>
      </x:c>
      <x:c r="E6" s="34" t="n">
        <x:f>IFERROR(B6/MAX($B$4:B6)-1,0)</x:f>
        <x:v>-0.006188557868928801</x:v>
      </x:c>
      <x:c r="F6" s="32" t="n">
        <x:v>21320</x:v>
      </x:c>
      <x:c r="G6" s="32" t="n">
        <x:v>-95</x:v>
      </x:c>
      <x:c r="H6" s="32" t="n">
        <x:v>365.58</x:v>
      </x:c>
      <x:c r="I6" s="32" t="n">
        <x:v>907.65</x:v>
      </x:c>
      <x:c r="J6" s="32" t="n">
        <x:v>1298.44</x:v>
      </x:c>
      <x:c r="K6" t="str">
        <x:v>Fallback dummy; replace by vnstock</x:v>
      </x:c>
    </x:row>
    <x:row r="7">
      <x:c r="A7" s="30" t="n">
        <x:v>45663</x:v>
      </x:c>
      <x:c r="B7" s="32" t="n">
        <x:v>1267.34</x:v>
      </x:c>
      <x:c r="C7" s="34" t="n">
        <x:f>IFERROR(B7/B6-1,0)</x:f>
        <x:v>0.005330710285415208</x:v>
      </x:c>
      <x:c r="D7" s="34" t="n">
        <x:f>IFERROR(STDEV.S(C4:C7)*SQRT(252),0)</x:f>
        <x:v>0.07502909933310849</x:v>
      </x:c>
      <x:c r="E7" s="34" t="n">
        <x:f>IFERROR(B7/MAX($B$4:B7)-1,0)</x:f>
        <x:v>-0.0008908369925975101</x:v>
      </x:c>
      <x:c r="F7" s="32" t="n">
        <x:v>22883</x:v>
      </x:c>
      <x:c r="G7" s="32" t="n">
        <x:v>-233</x:v>
      </x:c>
      <x:c r="H7" s="32" t="n">
        <x:v>367.53</x:v>
      </x:c>
      <x:c r="I7" s="32" t="n">
        <x:v>912.49</x:v>
      </x:c>
      <x:c r="J7" s="32" t="n">
        <x:v>1305.36</x:v>
      </x:c>
      <x:c r="K7" t="str">
        <x:v>Fallback dummy; replace by vnstock</x:v>
      </x:c>
    </x:row>
    <x:row r="8">
      <x:c r="A8" s="30" t="n">
        <x:v>45664</x:v>
      </x:c>
      <x:c r="B8" s="32" t="n">
        <x:v>1269.95</x:v>
      </x:c>
      <x:c r="C8" s="34" t="n">
        <x:f>IFERROR(B8/B7-1,0)</x:f>
        <x:v>0.002059431565325953</x:v>
      </x:c>
      <x:c r="D8" s="34" t="n">
        <x:f>IFERROR(STDEV.S(C4:C8)*SQRT(252),0)</x:f>
        <x:v>0.0667165216373443</x:v>
      </x:c>
      <x:c r="E8" s="34" t="n">
        <x:f>IFERROR(B8/MAX($B$4:B8)-1,0)</x:f>
        <x:v>0</x:v>
      </x:c>
      <x:c r="F8" s="32" t="n">
        <x:v>14085</x:v>
      </x:c>
      <x:c r="G8" s="32" t="n">
        <x:v>625</x:v>
      </x:c>
      <x:c r="H8" s="32" t="n">
        <x:v>368.29</x:v>
      </x:c>
      <x:c r="I8" s="32" t="n">
        <x:v>914.37</x:v>
      </x:c>
      <x:c r="J8" s="32" t="n">
        <x:v>1308.05</x:v>
      </x:c>
      <x:c r="K8" t="str">
        <x:v>Fallback dummy; replace by vnstock</x:v>
      </x:c>
    </x:row>
    <x:row r="9">
      <x:c r="A9" s="30" t="n">
        <x:v>45665</x:v>
      </x:c>
      <x:c r="B9" s="32" t="n">
        <x:v>1263.86</x:v>
      </x:c>
      <x:c r="C9" s="34" t="n">
        <x:f>IFERROR(B9/B8-1,0)</x:f>
        <x:v>-0.00479546438836187</x:v>
      </x:c>
      <x:c r="D9" s="34" t="n">
        <x:f>IFERROR(STDEV.S(C4:C9)*SQRT(252),0)</x:f>
        <x:v>0.06837065985156231</x:v>
      </x:c>
      <x:c r="E9" s="34" t="n">
        <x:f>IFERROR(B9/MAX($B$4:B9)-1,0)</x:f>
        <x:v>-0.00479546438836187</x:v>
      </x:c>
      <x:c r="F9" s="32" t="n">
        <x:v>19394</x:v>
      </x:c>
      <x:c r="G9" s="32" t="n">
        <x:v>-1678</x:v>
      </x:c>
      <x:c r="H9" s="32" t="n">
        <x:v>366.52</x:v>
      </x:c>
      <x:c r="I9" s="32" t="n">
        <x:v>909.98</x:v>
      </x:c>
      <x:c r="J9" s="32" t="n">
        <x:v>1301.78</x:v>
      </x:c>
      <x:c r="K9" t="str">
        <x:v>Fallback dummy; replace by vnstock</x:v>
      </x:c>
    </x:row>
    <x:row r="10">
      <x:c r="A10" s="30" t="n">
        <x:v>45666</x:v>
      </x:c>
      <x:c r="B10" s="32" t="n">
        <x:v>1255.28</x:v>
      </x:c>
      <x:c r="C10" s="34" t="n">
        <x:f>IFERROR(B10/B9-1,0)</x:f>
        <x:v>-0.006788726599465056</x:v>
      </x:c>
      <x:c r="D10" s="34" t="n">
        <x:f>IFERROR(STDEV.S(C4:C10)*SQRT(252),0)</x:f>
        <x:v>0.07291933649966686</x:v>
      </x:c>
      <x:c r="E10" s="34" t="n">
        <x:f>IFERROR(B10/MAX($B$4:B10)-1,0)</x:f>
        <x:v>-0.011551635891176915</x:v>
      </x:c>
      <x:c r="F10" s="32" t="n">
        <x:v>25113</x:v>
      </x:c>
      <x:c r="G10" s="32" t="n">
        <x:v>-1131</x:v>
      </x:c>
      <x:c r="H10" s="32" t="n">
        <x:v>364.03</x:v>
      </x:c>
      <x:c r="I10" s="32" t="n">
        <x:v>903.8</x:v>
      </x:c>
      <x:c r="J10" s="32" t="n">
        <x:v>1292.94</x:v>
      </x:c>
      <x:c r="K10" t="str">
        <x:v>Fallback dummy; replace by vnstock</x:v>
      </x:c>
    </x:row>
    <x:row r="11">
      <x:c r="A11" s="30" t="n">
        <x:v>45667</x:v>
      </x:c>
      <x:c r="B11" s="32" t="n">
        <x:v>1240.83</x:v>
      </x:c>
      <x:c r="C11" s="34" t="n">
        <x:f>IFERROR(B11/B10-1,0)</x:f>
        <x:v>-0.011511375947995672</x:v>
      </x:c>
      <x:c r="D11" s="34" t="n">
        <x:f>IFERROR(STDEV.S(C4:C11)*SQRT(252),0)</x:f>
        <x:v>0.088186438718996</x:v>
      </x:c>
      <x:c r="E11" s="34" t="n">
        <x:f>IFERROR(B11/MAX($B$4:B11)-1,0)</x:f>
        <x:v>-0.02293003661561488</x:v>
      </x:c>
      <x:c r="F11" s="32" t="n">
        <x:v>15504</x:v>
      </x:c>
      <x:c r="G11" s="32" t="n">
        <x:v>-534</x:v>
      </x:c>
      <x:c r="H11" s="32" t="n">
        <x:v>359.84</x:v>
      </x:c>
      <x:c r="I11" s="32" t="n">
        <x:v>893.4</x:v>
      </x:c>
      <x:c r="J11" s="32" t="n">
        <x:v>1278.06</x:v>
      </x:c>
      <x:c r="K11" t="str">
        <x:v>Fallback dummy; replace by vnstock</x:v>
      </x:c>
    </x:row>
    <x:row r="12">
      <x:c r="A12" s="30" t="n">
        <x:v>45670</x:v>
      </x:c>
      <x:c r="B12" s="32" t="n">
        <x:v>1245.31</x:v>
      </x:c>
      <x:c r="C12" s="34" t="n">
        <x:f>IFERROR(B12/B11-1,0)</x:f>
        <x:v>0.0036104865291781696</x:v>
      </x:c>
      <x:c r="D12" s="34" t="n">
        <x:f>IFERROR(STDEV.S(C4:C12)*SQRT(252),0)</x:f>
        <x:v>0.08892522774312277</x:v>
      </x:c>
      <x:c r="E12" s="34" t="n">
        <x:f>IFERROR(B12/MAX($B$4:B12)-1,0)</x:f>
        <x:v>-0.019402338674751052</x:v>
      </x:c>
      <x:c r="F12" s="32" t="n">
        <x:v>24687</x:v>
      </x:c>
      <x:c r="G12" s="32" t="n">
        <x:v>35</x:v>
      </x:c>
      <x:c r="H12" s="32" t="n">
        <x:v>361.14</x:v>
      </x:c>
      <x:c r="I12" s="32" t="n">
        <x:v>896.62</x:v>
      </x:c>
      <x:c r="J12" s="32" t="n">
        <x:v>1282.67</x:v>
      </x:c>
      <x:c r="K12" t="str">
        <x:v>Fallback dummy; replace by vnstock</x:v>
      </x:c>
    </x:row>
    <x:row r="13">
      <x:c r="A13" s="30" t="n">
        <x:v>45671</x:v>
      </x:c>
      <x:c r="B13" s="32" t="n">
        <x:v>1247.26</x:v>
      </x:c>
      <x:c r="C13" s="34" t="n">
        <x:f>IFERROR(B13/B12-1,0)</x:f>
        <x:v>0.001565875163613839</x:v>
      </x:c>
      <x:c r="D13" s="34" t="n">
        <x:f>IFERROR(STDEV.S(C4:C13)*SQRT(252),0)</x:f>
        <x:v>0.08569619711302924</x:v>
      </x:c>
      <x:c r="E13" s="34" t="n">
        <x:f>IFERROR(B13/MAX($B$4:B13)-1,0)</x:f>
        <x:v>-0.017866845151383925</x:v>
      </x:c>
      <x:c r="F13" s="32" t="n">
        <x:v>24883</x:v>
      </x:c>
      <x:c r="G13" s="32" t="n">
        <x:v>472</x:v>
      </x:c>
      <x:c r="H13" s="32" t="n">
        <x:v>361.71</x:v>
      </x:c>
      <x:c r="I13" s="32" t="n">
        <x:v>898.03</x:v>
      </x:c>
      <x:c r="J13" s="32" t="n">
        <x:v>1284.68</x:v>
      </x:c>
      <x:c r="K13" t="str">
        <x:v>Fallback dummy; replace by vnstock</x:v>
      </x:c>
    </x:row>
    <x:row r="14">
      <x:c r="A14" s="30" t="n">
        <x:v>45672</x:v>
      </x:c>
      <x:c r="B14" s="32" t="n">
        <x:v>1260.18</x:v>
      </x:c>
      <x:c r="C14" s="34" t="n">
        <x:f>IFERROR(B14/B13-1,0)</x:f>
        <x:v>0.010358706284175012</x:v>
      </x:c>
      <x:c r="D14" s="34" t="n">
        <x:f>IFERROR(STDEV.S(C4:C14)*SQRT(252),0)</x:f>
        <x:v>0.09946811205803066</x:v>
      </x:c>
      <x:c r="E14" s="34" t="n">
        <x:f>IFERROR(B14/MAX($B$4:B14)-1,0)</x:f>
        <x:v>-0.0076932162683570615</x:v>
      </x:c>
      <x:c r="F14" s="32" t="n">
        <x:v>16296</x:v>
      </x:c>
      <x:c r="G14" s="32" t="n">
        <x:v>1145</x:v>
      </x:c>
      <x:c r="H14" s="32" t="n">
        <x:v>365.45</x:v>
      </x:c>
      <x:c r="I14" s="32" t="n">
        <x:v>907.33</x:v>
      </x:c>
      <x:c r="J14" s="32" t="n">
        <x:v>1297.99</x:v>
      </x:c>
      <x:c r="K14" t="str">
        <x:v>Fallback dummy; replace by vnstock</x:v>
      </x:c>
    </x:row>
    <x:row r="15">
      <x:c r="A15" s="30" t="n">
        <x:v>45673</x:v>
      </x:c>
      <x:c r="B15" s="32" t="n">
        <x:v>1245.06</x:v>
      </x:c>
      <x:c r="C15" s="34" t="n">
        <x:f>IFERROR(B15/B14-1,0)</x:f>
        <x:v>-0.011998285959148758</x:v>
      </x:c>
      <x:c r="D15" s="34" t="n">
        <x:f>IFERROR(STDEV.S(C4:C15)*SQRT(252),0)</x:f>
        <x:v>0.10843487218229306</x:v>
      </x:c>
      <x:c r="E15" s="34" t="n">
        <x:f>IFERROR(B15/MAX($B$4:B15)-1,0)</x:f>
        <x:v>-0.019599196818772424</x:v>
      </x:c>
      <x:c r="F15" s="32" t="n">
        <x:v>20359</x:v>
      </x:c>
      <x:c r="G15" s="32" t="n">
        <x:v>-735</x:v>
      </x:c>
      <x:c r="H15" s="32" t="n">
        <x:v>361.07</x:v>
      </x:c>
      <x:c r="I15" s="32" t="n">
        <x:v>896.44</x:v>
      </x:c>
      <x:c r="J15" s="32" t="n">
        <x:v>1282.41</x:v>
      </x:c>
      <x:c r="K15" t="str">
        <x:v>Fallback dummy; replace by vnstock</x:v>
      </x:c>
    </x:row>
    <x:row r="16">
      <x:c r="A16" s="30" t="n">
        <x:v>45674</x:v>
      </x:c>
      <x:c r="B16" s="32" t="n">
        <x:v>1241.74</x:v>
      </x:c>
      <x:c r="C16" s="34" t="n">
        <x:f>IFERROR(B16/B15-1,0)</x:f>
        <x:v>-0.0026665381588035775</x:v>
      </x:c>
      <x:c r="D16" s="34" t="n">
        <x:f>IFERROR(STDEV.S(C4:C16)*SQRT(252),0)</x:f>
        <x:v>0.10394930036694248</x:v>
      </x:c>
      <x:c r="E16" s="34" t="n">
        <x:f>IFERROR(B16/MAX($B$4:B16)-1,0)</x:f>
        <x:v>-0.02221347297137688</x:v>
      </x:c>
      <x:c r="F16" s="32" t="n">
        <x:v>26517</x:v>
      </x:c>
      <x:c r="G16" s="32" t="n">
        <x:v>-714</x:v>
      </x:c>
      <x:c r="H16" s="32" t="n">
        <x:v>360.1</x:v>
      </x:c>
      <x:c r="I16" s="32" t="n">
        <x:v>894.05</x:v>
      </x:c>
      <x:c r="J16" s="32" t="n">
        <x:v>1278.99</x:v>
      </x:c>
      <x:c r="K16" t="str">
        <x:v>Fallback dummy; replace by vnstock</x:v>
      </x:c>
    </x:row>
    <x:row r="17">
      <x:c r="A17" s="30" t="n">
        <x:v>45677</x:v>
      </x:c>
      <x:c r="B17" s="32" t="n">
        <x:v>1242.46</x:v>
      </x:c>
      <x:c r="C17" s="34" t="n">
        <x:f>IFERROR(B17/B16-1,0)</x:f>
        <x:v>0.0005798315267286913</x:v>
      </x:c>
      <x:c r="D17" s="34" t="n">
        <x:f>IFERROR(STDEV.S(C4:C17)*SQRT(252),0)</x:f>
        <x:v>0.10028824913508927</x:v>
      </x:c>
      <x:c r="E17" s="34" t="n">
        <x:f>IFERROR(B17/MAX($B$4:B17)-1,0)</x:f>
        <x:v>-0.021646521516595185</x:v>
      </x:c>
      <x:c r="F17" s="32" t="n">
        <x:v>27917</x:v>
      </x:c>
      <x:c r="G17" s="32" t="n">
        <x:v>-1000</x:v>
      </x:c>
      <x:c r="H17" s="32" t="n">
        <x:v>360.31</x:v>
      </x:c>
      <x:c r="I17" s="32" t="n">
        <x:v>894.57</x:v>
      </x:c>
      <x:c r="J17" s="32" t="n">
        <x:v>1279.73</x:v>
      </x:c>
      <x:c r="K17" t="str">
        <x:v>Fallback dummy; replace by vnstock</x:v>
      </x:c>
    </x:row>
    <x:row r="18">
      <x:c r="A18" s="30" t="n">
        <x:v>45678</x:v>
      </x:c>
      <x:c r="B18" s="32" t="n">
        <x:v>1237.9</x:v>
      </x:c>
      <x:c r="C18" s="34" t="n">
        <x:f>IFERROR(B18/B17-1,0)</x:f>
        <x:v>-0.0036701382740691457</x:v>
      </x:c>
      <x:c r="D18" s="34" t="n">
        <x:f>IFERROR(STDEV.S(C4:C18)*SQRT(252),0)</x:f>
        <x:v>0.0970793779703093</x:v>
      </x:c>
      <x:c r="E18" s="34" t="n">
        <x:f>IFERROR(B18/MAX($B$4:B18)-1,0)</x:f>
        <x:v>-0.025237214063545732</x:v>
      </x:c>
      <x:c r="F18" s="32" t="n">
        <x:v>23891</x:v>
      </x:c>
      <x:c r="G18" s="32" t="n">
        <x:v>-1032</x:v>
      </x:c>
      <x:c r="H18" s="32" t="n">
        <x:v>358.99</x:v>
      </x:c>
      <x:c r="I18" s="32" t="n">
        <x:v>891.29</x:v>
      </x:c>
      <x:c r="J18" s="32" t="n">
        <x:v>1275.04</x:v>
      </x:c>
      <x:c r="K18" t="str">
        <x:v>Fallback dummy; replace by vnstock</x:v>
      </x:c>
    </x:row>
    <x:row r="19">
      <x:c r="A19" s="30" t="n">
        <x:v>45679</x:v>
      </x:c>
      <x:c r="B19" s="32" t="n">
        <x:v>1218.61</x:v>
      </x:c>
      <x:c r="C19" s="34" t="n">
        <x:f>IFERROR(B19/B18-1,0)</x:f>
        <x:v>-0.015582841909685952</x:v>
      </x:c>
      <x:c r="D19" s="34" t="n">
        <x:f>IFERROR(STDEV.S(C4:C19)*SQRT(252),0)</x:f>
        <x:v>0.10903619699326829</x:v>
      </x:c>
      <x:c r="E19" s="34" t="n">
        <x:f>IFERROR(B19/MAX($B$4:B19)-1,0)</x:f>
        <x:v>-0.040426788456238594</x:v>
      </x:c>
      <x:c r="F19" s="32" t="n">
        <x:v>18350</x:v>
      </x:c>
      <x:c r="G19" s="32" t="n">
        <x:v>-1054</x:v>
      </x:c>
      <x:c r="H19" s="32" t="n">
        <x:v>353.4</x:v>
      </x:c>
      <x:c r="I19" s="32" t="n">
        <x:v>877.4</x:v>
      </x:c>
      <x:c r="J19" s="32" t="n">
        <x:v>1255.17</x:v>
      </x:c>
      <x:c r="K19" t="str">
        <x:v>Fallback dummy; replace by vnstock</x:v>
      </x:c>
    </x:row>
    <x:row r="20">
      <x:c r="A20" s="30" t="n">
        <x:v>45680</x:v>
      </x:c>
      <x:c r="B20" s="32" t="n">
        <x:v>1229.47</x:v>
      </x:c>
      <x:c r="C20" s="34" t="n">
        <x:f>IFERROR(B20/B19-1,0)</x:f>
        <x:v>0.00891179294442046</x:v>
      </x:c>
      <x:c r="D20" s="34" t="n">
        <x:f>IFERROR(STDEV.S(C4:C20)*SQRT(252),0)</x:f>
        <x:v>0.11427123641248524</x:v>
      </x:c>
      <x:c r="E20" s="34" t="n">
        <x:f>IFERROR(B20/MAX($B$4:B20)-1,0)</x:f>
        <x:v>-0.031875270679948</x:v>
      </x:c>
      <x:c r="F20" s="32" t="n">
        <x:v>20784</x:v>
      </x:c>
      <x:c r="G20" s="32" t="n">
        <x:v>809</x:v>
      </x:c>
      <x:c r="H20" s="32" t="n">
        <x:v>356.55</x:v>
      </x:c>
      <x:c r="I20" s="32" t="n">
        <x:v>885.22</x:v>
      </x:c>
      <x:c r="J20" s="32" t="n">
        <x:v>1266.35</x:v>
      </x:c>
      <x:c r="K20" t="str">
        <x:v>Fallback dummy; replace by vnstock</x:v>
      </x:c>
    </x:row>
    <x:row r="21">
      <x:c r="A21" s="30" t="n">
        <x:v>45681</x:v>
      </x:c>
      <x:c r="B21" s="32" t="n">
        <x:v>1242.38</x:v>
      </x:c>
      <x:c r="C21" s="34" t="n">
        <x:f>IFERROR(B21/B20-1,0)</x:f>
        <x:v>0.01050045954760992</x:v>
      </x:c>
      <x:c r="D21" s="34" t="n">
        <x:f>IFERROR(STDEV.S(C4:C21)*SQRT(252),0)</x:f>
        <x:v>0.12000113324304436</x:v>
      </x:c>
      <x:c r="E21" s="34" t="n">
        <x:f>IFERROR(B21/MAX($B$4:B21)-1,0)</x:f>
        <x:v>-0.021709516122681904</x:v>
      </x:c>
      <x:c r="F21" s="32" t="n">
        <x:v>16360</x:v>
      </x:c>
      <x:c r="G21" s="32" t="n">
        <x:v>-1565</x:v>
      </x:c>
      <x:c r="H21" s="32" t="n">
        <x:v>360.29</x:v>
      </x:c>
      <x:c r="I21" s="32" t="n">
        <x:v>894.51</x:v>
      </x:c>
      <x:c r="J21" s="32" t="n">
        <x:v>1279.65</x:v>
      </x:c>
      <x:c r="K21" t="str">
        <x:v>Fallback dummy; replace by vnstock</x:v>
      </x:c>
    </x:row>
    <x:row r="22">
      <x:c r="A22" s="30" t="n">
        <x:v>45684</x:v>
      </x:c>
      <x:c r="B22" s="32" t="n">
        <x:v>1228.74</x:v>
      </x:c>
      <x:c r="C22" s="34" t="n">
        <x:f>IFERROR(B22/B21-1,0)</x:f>
        <x:v>-0.0109789275422979</x:v>
      </x:c>
      <x:c r="D22" s="34" t="n">
        <x:f>IFERROR(STDEV.S(C4:C22)*SQRT(252),0)</x:f>
        <x:v>0.1220486133326548</x:v>
      </x:c>
      <x:c r="E22" s="34" t="n">
        <x:f>IFERROR(B22/MAX($B$4:B22)-1,0)</x:f>
        <x:v>-0.032450096460490574</x:v>
      </x:c>
      <x:c r="F22" s="32" t="n">
        <x:v>18810</x:v>
      </x:c>
      <x:c r="G22" s="32" t="n">
        <x:v>205</x:v>
      </x:c>
      <x:c r="H22" s="32" t="n">
        <x:v>356.33</x:v>
      </x:c>
      <x:c r="I22" s="32" t="n">
        <x:v>884.69</x:v>
      </x:c>
      <x:c r="J22" s="32" t="n">
        <x:v>1265.6</x:v>
      </x:c>
      <x:c r="K22" t="str">
        <x:v>Fallback dummy; replace by vnstock</x:v>
      </x:c>
    </x:row>
    <x:row r="23">
      <x:c r="A23" s="30" t="n">
        <x:v>45685</x:v>
      </x:c>
      <x:c r="B23" s="32" t="n">
        <x:v>1242.43</x:v>
      </x:c>
      <x:c r="C23" s="34" t="n">
        <x:f>IFERROR(B23/B22-1,0)</x:f>
        <x:v>0.0111414945391215</x:v>
      </x:c>
      <x:c r="D23" s="34" t="n">
        <x:f>IFERROR(STDEV.S(C4:C23)*SQRT(252),0)</x:f>
        <x:v>0.1271315291820235</x:v>
      </x:c>
      <x:c r="E23" s="34" t="n">
        <x:f>IFERROR(B23/MAX($B$4:B23)-1,0)</x:f>
        <x:v>-0.02167014449387772</x:v>
      </x:c>
      <x:c r="F23" s="32" t="n">
        <x:v>27778</x:v>
      </x:c>
      <x:c r="G23" s="32" t="n">
        <x:v>704</x:v>
      </x:c>
      <x:c r="H23" s="32" t="n">
        <x:v>360.3</x:v>
      </x:c>
      <x:c r="I23" s="32" t="n">
        <x:v>894.55</x:v>
      </x:c>
      <x:c r="J23" s="32" t="n">
        <x:v>1279.7</x:v>
      </x:c>
      <x:c r="K23" t="str">
        <x:v>Fallback dummy; replace by vnstock</x:v>
      </x:c>
    </x:row>
    <x:row r="24">
      <x:c r="A24" s="30" t="n">
        <x:v>45686</x:v>
      </x:c>
      <x:c r="B24" s="32" t="n">
        <x:v>1234.95</x:v>
      </x:c>
      <x:c r="C24" s="34" t="n">
        <x:f>IFERROR(B24/B23-1,0)</x:f>
        <x:v>-0.006020459905185849</x:v>
      </x:c>
      <x:c r="D24" s="34" t="n">
        <x:f>IFERROR(STDEV.S(C5:C24)*SQRT(252),0)</x:f>
        <x:v>0.12830816094820743</x:v>
      </x:c>
      <x:c r="E24" s="34" t="n">
        <x:f>IFERROR(B24/MAX($B$4:B24)-1,0)</x:f>
        <x:v>-0.02756014016299857</x:v>
      </x:c>
      <x:c r="F24" s="32" t="n">
        <x:v>25757</x:v>
      </x:c>
      <x:c r="G24" s="32" t="n">
        <x:v>-1282</x:v>
      </x:c>
      <x:c r="H24" s="32" t="n">
        <x:v>358.14</x:v>
      </x:c>
      <x:c r="I24" s="32" t="n">
        <x:v>889.17</x:v>
      </x:c>
      <x:c r="J24" s="32" t="n">
        <x:v>1272</x:v>
      </x:c>
      <x:c r="K24" t="str">
        <x:v>Fallback dummy; replace by vnstock</x:v>
      </x:c>
    </x:row>
    <x:row r="25">
      <x:c r="A25" s="30" t="n">
        <x:v>45687</x:v>
      </x:c>
      <x:c r="B25" s="32" t="n">
        <x:v>1227.96</x:v>
      </x:c>
      <x:c r="C25" s="34" t="n">
        <x:f>IFERROR(B25/B24-1,0)</x:f>
        <x:v>-0.0056601481841370704</x:v>
      </x:c>
      <x:c r="D25" s="34" t="n">
        <x:f>IFERROR(STDEV.S(C6:C25)*SQRT(252),0)</x:f>
        <x:v>0.12902186575234711</x:v>
      </x:c>
      <x:c r="E25" s="34" t="n">
        <x:f>IFERROR(B25/MAX($B$4:B25)-1,0)</x:f>
        <x:v>-0.03306429386983745</x:v>
      </x:c>
      <x:c r="F25" s="32" t="n">
        <x:v>22209</x:v>
      </x:c>
      <x:c r="G25" s="32" t="n">
        <x:v>-187</x:v>
      </x:c>
      <x:c r="H25" s="32" t="n">
        <x:v>356.11</x:v>
      </x:c>
      <x:c r="I25" s="32" t="n">
        <x:v>884.13</x:v>
      </x:c>
      <x:c r="J25" s="32" t="n">
        <x:v>1264.8</x:v>
      </x:c>
      <x:c r="K25" t="str">
        <x:v>Fallback dummy; replace by vnstock</x:v>
      </x:c>
    </x:row>
    <x:row r="26">
      <x:c r="A26" s="30" t="n">
        <x:v>45688</x:v>
      </x:c>
      <x:c r="B26" s="32" t="n">
        <x:v>1204.88</x:v>
      </x:c>
      <x:c r="C26" s="34" t="n">
        <x:f>IFERROR(B26/B25-1,0)</x:f>
        <x:v>-0.018795400501644965</x:v>
      </x:c>
      <x:c r="D26" s="34" t="n">
        <x:f>IFERROR(STDEV.S(C7:C26)*SQRT(252),0)</x:f>
        <x:v>0.14208083718588777</x:v>
      </x:c>
      <x:c r="E26" s="34" t="n">
        <x:f>IFERROR(B26/MAX($B$4:B26)-1,0)</x:f>
        <x:v>-0.05123823772589464</x:v>
      </x:c>
      <x:c r="F26" s="32" t="n">
        <x:v>25260</x:v>
      </x:c>
      <x:c r="G26" s="32" t="n">
        <x:v>517</x:v>
      </x:c>
      <x:c r="H26" s="32" t="n">
        <x:v>349.42</x:v>
      </x:c>
      <x:c r="I26" s="32" t="n">
        <x:v>867.52</x:v>
      </x:c>
      <x:c r="J26" s="32" t="n">
        <x:v>1241.03</x:v>
      </x:c>
      <x:c r="K26" t="str">
        <x:v>Fallback dummy; replace by vnstock</x:v>
      </x:c>
    </x:row>
    <x:row r="27">
      <x:c r="A27" s="30" t="n">
        <x:v>45691</x:v>
      </x:c>
      <x:c r="B27" s="32" t="n">
        <x:v>1202.09</x:v>
      </x:c>
      <x:c r="C27" s="34" t="n">
        <x:f>IFERROR(B27/B26-1,0)</x:f>
        <x:v>-0.0023155832946021304</x:v>
      </x:c>
      <x:c r="D27" s="34" t="n">
        <x:f>IFERROR(STDEV.S(C8:C27)*SQRT(252),0)</x:f>
        <x:v>0.1392553103384632</x:v>
      </x:c>
      <x:c r="E27" s="34" t="n">
        <x:f>IFERROR(B27/MAX($B$4:B27)-1,0)</x:f>
        <x:v>-0.05343517461317382</x:v>
      </x:c>
      <x:c r="F27" s="32" t="n">
        <x:v>17212</x:v>
      </x:c>
      <x:c r="G27" s="32" t="n">
        <x:v>-453</x:v>
      </x:c>
      <x:c r="H27" s="32" t="n">
        <x:v>348.6</x:v>
      </x:c>
      <x:c r="I27" s="32" t="n">
        <x:v>865.5</x:v>
      </x:c>
      <x:c r="J27" s="32" t="n">
        <x:v>1238.15</x:v>
      </x:c>
      <x:c r="K27" t="str">
        <x:v>Fallback dummy; replace by vnstock</x:v>
      </x:c>
    </x:row>
    <x:row r="28">
      <x:c r="A28" s="30" t="n">
        <x:v>45692</x:v>
      </x:c>
      <x:c r="B28" s="32" t="n">
        <x:v>1200.6</x:v>
      </x:c>
      <x:c r="C28" s="34" t="n">
        <x:f>IFERROR(B28/B27-1,0)</x:f>
        <x:v>-0.0012395078571487694</x:v>
      </x:c>
      <x:c r="D28" s="34" t="n">
        <x:f>IFERROR(STDEV.S(C9:C28)*SQRT(252),0)</x:f>
        <x:v>0.138279362991316</x:v>
      </x:c>
      <x:c r="E28" s="34" t="n">
        <x:f>IFERROR(B28/MAX($B$4:B28)-1,0)</x:f>
        <x:v>-0.054608449151541505</x:v>
      </x:c>
      <x:c r="F28" s="32" t="n">
        <x:v>24232</x:v>
      </x:c>
      <x:c r="G28" s="32" t="n">
        <x:v>1163</x:v>
      </x:c>
      <x:c r="H28" s="32" t="n">
        <x:v>348.17</x:v>
      </x:c>
      <x:c r="I28" s="32" t="n">
        <x:v>864.43</x:v>
      </x:c>
      <x:c r="J28" s="32" t="n">
        <x:v>1236.62</x:v>
      </x:c>
      <x:c r="K28" t="str">
        <x:v>Fallback dummy; replace by vnstock</x:v>
      </x:c>
    </x:row>
    <x:row r="29">
      <x:c r="A29" s="30" t="n">
        <x:v>45693</x:v>
      </x:c>
      <x:c r="B29" s="32" t="n">
        <x:v>1199.2</x:v>
      </x:c>
      <x:c r="C29" s="34" t="n">
        <x:f>IFERROR(B29/B28-1,0)</x:f>
        <x:v>-0.0011660836248541528</x:v>
      </x:c>
      <x:c r="D29" s="34" t="n">
        <x:f>IFERROR(STDEV.S(C10:C29)*SQRT(252),0)</x:f>
        <x:v>0.13817357546459647</x:v>
      </x:c>
      <x:c r="E29" s="34" t="n">
        <x:f>IFERROR(B29/MAX($B$4:B29)-1,0)</x:f>
        <x:v>-0.05571085475806137</x:v>
      </x:c>
      <x:c r="F29" s="32" t="n">
        <x:v>17428</x:v>
      </x:c>
      <x:c r="G29" s="32" t="n">
        <x:v>-1682</x:v>
      </x:c>
      <x:c r="H29" s="32" t="n">
        <x:v>347.77</x:v>
      </x:c>
      <x:c r="I29" s="32" t="n">
        <x:v>863.43</x:v>
      </x:c>
      <x:c r="J29" s="32" t="n">
        <x:v>1235.18</x:v>
      </x:c>
      <x:c r="K29" t="str">
        <x:v>Fallback dummy; replace by vnstock</x:v>
      </x:c>
    </x:row>
    <x:row r="30">
      <x:c r="A30" s="30" t="n">
        <x:v>45694</x:v>
      </x:c>
      <x:c r="B30" s="32" t="n">
        <x:v>1195.21</x:v>
      </x:c>
      <x:c r="C30" s="34" t="n">
        <x:f>IFERROR(B30/B29-1,0)</x:f>
        <x:v>-0.003327218145430244</x:v>
      </x:c>
      <x:c r="D30" s="34" t="n">
        <x:f>IFERROR(STDEV.S(C11:C30)*SQRT(252),0)</x:f>
        <x:v>0.13732092517916142</x:v>
      </x:c>
      <x:c r="E30" s="34" t="n">
        <x:f>IFERROR(B30/MAX($B$4:B30)-1,0)</x:f>
        <x:v>-0.05885271073664322</x:v>
      </x:c>
      <x:c r="F30" s="32" t="n">
        <x:v>12498</x:v>
      </x:c>
      <x:c r="G30" s="32" t="n">
        <x:v>-1315</x:v>
      </x:c>
      <x:c r="H30" s="32" t="n">
        <x:v>346.61</x:v>
      </x:c>
      <x:c r="I30" s="32" t="n">
        <x:v>860.55</x:v>
      </x:c>
      <x:c r="J30" s="32" t="n">
        <x:v>1231.06</x:v>
      </x:c>
      <x:c r="K30" t="str">
        <x:v>Fallback dummy; replace by vnstock</x:v>
      </x:c>
    </x:row>
    <x:row r="31">
      <x:c r="A31" s="30" t="n">
        <x:v>45695</x:v>
      </x:c>
      <x:c r="B31" s="32" t="n">
        <x:v>1180.57</x:v>
      </x:c>
      <x:c r="C31" s="34" t="n">
        <x:f>IFERROR(B31/B30-1,0)</x:f>
        <x:v>-0.012248893499887115</x:v>
      </x:c>
      <x:c r="D31" s="34" t="n">
        <x:f>IFERROR(STDEV.S(C12:C31)*SQRT(252),0)</x:f>
        <x:v>0.1379923311632556</x:v>
      </x:c>
      <x:c r="E31" s="34" t="n">
        <x:f>IFERROR(B31/MAX($B$4:B31)-1,0)</x:f>
        <x:v>-0.07038072365053749</x:v>
      </x:c>
      <x:c r="F31" s="32" t="n">
        <x:v>23112</x:v>
      </x:c>
      <x:c r="G31" s="32" t="n">
        <x:v>530</x:v>
      </x:c>
      <x:c r="H31" s="32" t="n">
        <x:v>342.37</x:v>
      </x:c>
      <x:c r="I31" s="32" t="n">
        <x:v>850.01</x:v>
      </x:c>
      <x:c r="J31" s="32" t="n">
        <x:v>1215.99</x:v>
      </x:c>
      <x:c r="K31" t="str">
        <x:v>Fallback dummy; replace by vnstock</x:v>
      </x:c>
    </x:row>
    <x:row r="32">
      <x:c r="A32" s="30" t="n">
        <x:v>45698</x:v>
      </x:c>
      <x:c r="B32" s="32" t="n">
        <x:v>1174.42</x:v>
      </x:c>
      <x:c r="C32" s="34" t="n">
        <x:f>IFERROR(B32/B31-1,0)</x:f>
        <x:v>-0.005209348026800509</x:v>
      </x:c>
      <x:c r="D32" s="34" t="n">
        <x:f>IFERROR(STDEV.S(C13:C32)*SQRT(252),0)</x:f>
        <x:v>0.13639691048921823</x:v>
      </x:c>
      <x:c r="E32" s="34" t="n">
        <x:f>IFERROR(B32/MAX($B$4:B32)-1,0)</x:f>
        <x:v>-0.07522343399346432</x:v>
      </x:c>
      <x:c r="F32" s="32" t="n">
        <x:v>18977</x:v>
      </x:c>
      <x:c r="G32" s="32" t="n">
        <x:v>491</x:v>
      </x:c>
      <x:c r="H32" s="32" t="n">
        <x:v>340.58</x:v>
      </x:c>
      <x:c r="I32" s="32" t="n">
        <x:v>845.58</x:v>
      </x:c>
      <x:c r="J32" s="32" t="n">
        <x:v>1209.65</x:v>
      </x:c>
      <x:c r="K32" t="str">
        <x:v>Fallback dummy; replace by vnstock</x:v>
      </x:c>
    </x:row>
    <x:row r="33">
      <x:c r="A33" s="30" t="n">
        <x:v>45699</x:v>
      </x:c>
      <x:c r="B33" s="32" t="n">
        <x:v>1179.39</x:v>
      </x:c>
      <x:c r="C33" s="34" t="n">
        <x:f>IFERROR(B33/B32-1,0)</x:f>
        <x:v>0.004231876160147197</x:v>
      </x:c>
      <x:c r="D33" s="34" t="n">
        <x:f>IFERROR(STDEV.S(C14:C33)*SQRT(252),0)</x:f>
        <x:v>0.13787263446942855</x:v>
      </x:c>
      <x:c r="E33" s="34" t="n">
        <x:f>IFERROR(B33/MAX($B$4:B33)-1,0)</x:f>
        <x:v>-0.07130989409031852</x:v>
      </x:c>
      <x:c r="F33" s="32" t="n">
        <x:v>20950</x:v>
      </x:c>
      <x:c r="G33" s="32" t="n">
        <x:v>740</x:v>
      </x:c>
      <x:c r="H33" s="32" t="n">
        <x:v>342.02</x:v>
      </x:c>
      <x:c r="I33" s="32" t="n">
        <x:v>849.16</x:v>
      </x:c>
      <x:c r="J33" s="32" t="n">
        <x:v>1214.77</x:v>
      </x:c>
      <x:c r="K33" t="str">
        <x:v>Fallback dummy; replace by vnstock</x:v>
      </x:c>
    </x:row>
    <x:row r="34">
      <x:c r="A34" s="30" t="n">
        <x:v>45700</x:v>
      </x:c>
      <x:c r="B34" s="32" t="n">
        <x:v>1173.73</x:v>
      </x:c>
      <x:c r="C34" s="34" t="n">
        <x:f>IFERROR(B34/B33-1,0)</x:f>
        <x:v>-0.004799091055545768</x:v>
      </x:c>
      <x:c r="D34" s="34" t="n">
        <x:f>IFERROR(STDEV.S(C15:C34)*SQRT(252),0)</x:f>
        <x:v>0.12895715808410463</x:v>
      </x:c>
      <x:c r="E34" s="34" t="n">
        <x:f>IFERROR(B34/MAX($B$4:B34)-1,0)</x:f>
        <x:v>-0.07576676247096348</x:v>
      </x:c>
      <x:c r="F34" s="32" t="n">
        <x:v>17076</x:v>
      </x:c>
      <x:c r="G34" s="32" t="n">
        <x:v>-1498</x:v>
      </x:c>
      <x:c r="H34" s="32" t="n">
        <x:v>340.38</x:v>
      </x:c>
      <x:c r="I34" s="32" t="n">
        <x:v>845.09</x:v>
      </x:c>
      <x:c r="J34" s="32" t="n">
        <x:v>1208.94</x:v>
      </x:c>
      <x:c r="K34" t="str">
        <x:v>Fallback dummy; replace by vnstock</x:v>
      </x:c>
    </x:row>
    <x:row r="35">
      <x:c r="A35" s="30" t="n">
        <x:v>45701</x:v>
      </x:c>
      <x:c r="B35" s="32" t="n">
        <x:v>1181.93</x:v>
      </x:c>
      <x:c r="C35" s="34" t="n">
        <x:f>IFERROR(B35/B34-1,0)</x:f>
        <x:v>0.006986274526509462</x:v>
      </x:c>
      <x:c r="D35" s="34" t="n">
        <x:f>IFERROR(STDEV.S(C16:C35)*SQRT(252),0)</x:f>
        <x:v>0.1299976347363469</x:v>
      </x:c>
      <x:c r="E35" s="34" t="n">
        <x:f>IFERROR(B35/MAX($B$4:B35)-1,0)</x:f>
        <x:v>-0.06930981534706093</x:v>
      </x:c>
      <x:c r="F35" s="32" t="n">
        <x:v>15598</x:v>
      </x:c>
      <x:c r="G35" s="32" t="n">
        <x:v>-1534</x:v>
      </x:c>
      <x:c r="H35" s="32" t="n">
        <x:v>342.76</x:v>
      </x:c>
      <x:c r="I35" s="32" t="n">
        <x:v>850.99</x:v>
      </x:c>
      <x:c r="J35" s="32" t="n">
        <x:v>1217.39</x:v>
      </x:c>
      <x:c r="K35" t="str">
        <x:v>Fallback dummy; replace by vnstock</x:v>
      </x:c>
    </x:row>
    <x:row r="36">
      <x:c r="A36" s="30" t="n">
        <x:v>45702</x:v>
      </x:c>
      <x:c r="B36" s="32" t="n">
        <x:v>1190.26</x:v>
      </x:c>
      <x:c r="C36" s="34" t="n">
        <x:f>IFERROR(B36/B35-1,0)</x:f>
        <x:v>0.0070477947086544646</x:v>
      </x:c>
      <x:c r="D36" s="34" t="n">
        <x:f>IFERROR(STDEV.S(C17:C36)*SQRT(252),0)</x:f>
        <x:v>0.13439727233597473</x:v>
      </x:c>
      <x:c r="E36" s="34" t="n">
        <x:f>IFERROR(B36/MAX($B$4:B36)-1,0)</x:f>
        <x:v>-0.06275050198826726</x:v>
      </x:c>
      <x:c r="F36" s="32" t="n">
        <x:v>27230</x:v>
      </x:c>
      <x:c r="G36" s="32" t="n">
        <x:v>-68</x:v>
      </x:c>
      <x:c r="H36" s="32" t="n">
        <x:v>345.18</x:v>
      </x:c>
      <x:c r="I36" s="32" t="n">
        <x:v>856.99</x:v>
      </x:c>
      <x:c r="J36" s="32" t="n">
        <x:v>1225.97</x:v>
      </x:c>
      <x:c r="K36" t="str">
        <x:v>Fallback dummy; replace by vnstock</x:v>
      </x:c>
    </x:row>
    <x:row r="37">
      <x:c r="A37" s="30" t="n">
        <x:v>45705</x:v>
      </x:c>
      <x:c r="B37" s="32" t="n">
        <x:v>1212.01</x:v>
      </x:c>
      <x:c r="C37" s="34" t="n">
        <x:f>IFERROR(B37/B36-1,0)</x:f>
        <x:v>0.01827331843462776</x:v>
      </x:c>
      <x:c r="D37" s="34" t="n">
        <x:f>IFERROR(STDEV.S(C18:C37)*SQRT(252),0)</x:f>
        <x:v>0.15249878988653182</x:v>
      </x:c>
      <x:c r="E37" s="34" t="n">
        <x:f>IFERROR(B37/MAX($B$4:B37)-1,0)</x:f>
        <x:v>-0.04562384345840387</x:v>
      </x:c>
      <x:c r="F37" s="32" t="n">
        <x:v>19587</x:v>
      </x:c>
      <x:c r="G37" s="32" t="n">
        <x:v>-516</x:v>
      </x:c>
      <x:c r="H37" s="32" t="n">
        <x:v>351.48</x:v>
      </x:c>
      <x:c r="I37" s="32" t="n">
        <x:v>872.64</x:v>
      </x:c>
      <x:c r="J37" s="32" t="n">
        <x:v>1248.37</x:v>
      </x:c>
      <x:c r="K37" t="str">
        <x:v>Fallback dummy; replace by vnstock</x:v>
      </x:c>
    </x:row>
    <x:row r="38">
      <x:c r="A38" s="30" t="n">
        <x:v>45706</x:v>
      </x:c>
      <x:c r="B38" s="32" t="n">
        <x:v>1224.65</x:v>
      </x:c>
      <x:c r="C38" s="34" t="n">
        <x:f>IFERROR(B38/B37-1,0)</x:f>
        <x:v>0.010428956856791682</x:v>
      </x:c>
      <x:c r="D38" s="34" t="n">
        <x:f>IFERROR(STDEV.S(C19:C38)*SQRT(252),0)</x:f>
        <x:v>0.15759205815226335</x:v>
      </x:c>
      <x:c r="E38" s="34" t="n">
        <x:f>IFERROR(B38/MAX($B$4:B38)-1,0)</x:f>
        <x:v>-0.03567069569668091</x:v>
      </x:c>
      <x:c r="F38" s="32" t="n">
        <x:v>12704</x:v>
      </x:c>
      <x:c r="G38" s="32" t="n">
        <x:v>982</x:v>
      </x:c>
      <x:c r="H38" s="32" t="n">
        <x:v>355.15</x:v>
      </x:c>
      <x:c r="I38" s="32" t="n">
        <x:v>881.75</x:v>
      </x:c>
      <x:c r="J38" s="32" t="n">
        <x:v>1261.39</x:v>
      </x:c>
      <x:c r="K38" t="str">
        <x:v>Fallback dummy; replace by vnstock</x:v>
      </x:c>
    </x:row>
    <x:row r="39">
      <x:c r="A39" s="30" t="n">
        <x:v>45707</x:v>
      </x:c>
      <x:c r="B39" s="32" t="n">
        <x:v>1240.29</x:v>
      </x:c>
      <x:c r="C39" s="34" t="n">
        <x:f>IFERROR(B39/B38-1,0)</x:f>
        <x:v>0.012770995794716855</x:v>
      </x:c>
      <x:c r="D39" s="34" t="n">
        <x:f>IFERROR(STDEV.S(C20:C39)*SQRT(252),0)</x:f>
        <x:v>0.15366860699784976</x:v>
      </x:c>
      <x:c r="E39" s="34" t="n">
        <x:f>IFERROR(B39/MAX($B$4:B39)-1,0)</x:f>
        <x:v>-0.02335525020670115</x:v>
      </x:c>
      <x:c r="F39" s="32" t="n">
        <x:v>17663</x:v>
      </x:c>
      <x:c r="G39" s="32" t="n">
        <x:v>918</x:v>
      </x:c>
      <x:c r="H39" s="32" t="n">
        <x:v>359.68</x:v>
      </x:c>
      <x:c r="I39" s="32" t="n">
        <x:v>893.01</x:v>
      </x:c>
      <x:c r="J39" s="32" t="n">
        <x:v>1277.5</x:v>
      </x:c>
      <x:c r="K39" t="str">
        <x:v>Fallback dummy; replace by vnstock</x:v>
      </x:c>
    </x:row>
    <x:row r="40">
      <x:c r="A40" s="30" t="n">
        <x:v>45708</x:v>
      </x:c>
      <x:c r="B40" s="32" t="n">
        <x:v>1233.01</x:v>
      </x:c>
      <x:c r="C40" s="34" t="n">
        <x:f>IFERROR(B40/B39-1,0)</x:f>
        <x:v>-0.005869595014069251</x:v>
      </x:c>
      <x:c r="D40" s="34" t="n">
        <x:f>IFERROR(STDEV.S(C21:C40)*SQRT(252),0)</x:f>
        <x:v>0.15243376652838242</x:v>
      </x:c>
      <x:c r="E40" s="34" t="n">
        <x:f>IFERROR(B40/MAX($B$4:B40)-1,0)</x:f>
        <x:v>-0.029087759360604815</x:v>
      </x:c>
      <x:c r="F40" s="32" t="n">
        <x:v>26343</x:v>
      </x:c>
      <x:c r="G40" s="32" t="n">
        <x:v>-819</x:v>
      </x:c>
      <x:c r="H40" s="32" t="n">
        <x:v>357.57</x:v>
      </x:c>
      <x:c r="I40" s="32" t="n">
        <x:v>887.76</x:v>
      </x:c>
      <x:c r="J40" s="32" t="n">
        <x:v>1270</x:v>
      </x:c>
      <x:c r="K40" t="str">
        <x:v>Fallback dummy; replace by vnstock</x:v>
      </x:c>
    </x:row>
    <x:row r="41">
      <x:c r="A41" s="30" t="n">
        <x:v>45709</x:v>
      </x:c>
      <x:c r="B41" s="32" t="n">
        <x:v>1217.29</x:v>
      </x:c>
      <x:c r="C41" s="34" t="n">
        <x:f>IFERROR(B41/B40-1,0)</x:f>
        <x:v>-0.012749288326939778</x:v>
      </x:c>
      <x:c r="D41" s="34" t="n">
        <x:f>IFERROR(STDEV.S(C22:C41)*SQRT(252),0)</x:f>
        <x:v>0.15390486674899567</x:v>
      </x:c>
      <x:c r="E41" s="34" t="n">
        <x:f>IFERROR(B41/MAX($B$4:B41)-1,0)</x:f>
        <x:v>-0.041466199456671626</x:v>
      </x:c>
      <x:c r="F41" s="32" t="n">
        <x:v>21227</x:v>
      </x:c>
      <x:c r="G41" s="32" t="n">
        <x:v>939</x:v>
      </x:c>
      <x:c r="H41" s="32" t="n">
        <x:v>353.01</x:v>
      </x:c>
      <x:c r="I41" s="32" t="n">
        <x:v>876.45</x:v>
      </x:c>
      <x:c r="J41" s="32" t="n">
        <x:v>1253.81</x:v>
      </x:c>
      <x:c r="K41" t="str">
        <x:v>Fallback dummy; replace by vnstock</x:v>
      </x:c>
    </x:row>
    <x:row r="42">
      <x:c r="A42" s="30" t="n">
        <x:v>45712</x:v>
      </x:c>
      <x:c r="B42" s="32" t="n">
        <x:v>1208.08</x:v>
      </x:c>
      <x:c r="C42" s="34" t="n">
        <x:f>IFERROR(B42/B41-1,0)</x:f>
        <x:v>-0.007565986741039588</x:v>
      </x:c>
      <x:c r="D42" s="34" t="n">
        <x:f>IFERROR(STDEV.S(C23:C42)*SQRT(252),0)</x:f>
        <x:v>0.15141924112490643</x:v>
      </x:c>
      <x:c r="E42" s="34" t="n">
        <x:f>IFERROR(B42/MAX($B$4:B42)-1,0)</x:f>
        <x:v>-0.048718453482420654</x:v>
      </x:c>
      <x:c r="F42" s="32" t="n">
        <x:v>23009</x:v>
      </x:c>
      <x:c r="G42" s="32" t="n">
        <x:v>-550</x:v>
      </x:c>
      <x:c r="H42" s="32" t="n">
        <x:v>350.34</x:v>
      </x:c>
      <x:c r="I42" s="32" t="n">
        <x:v>869.82</x:v>
      </x:c>
      <x:c r="J42" s="32" t="n">
        <x:v>1244.32</x:v>
      </x:c>
      <x:c r="K42" t="str">
        <x:v>Fallback dummy; replace by vnstock</x:v>
      </x:c>
    </x:row>
    <x:row r="43">
      <x:c r="A43" s="30" t="n">
        <x:v>45713</x:v>
      </x:c>
      <x:c r="B43" s="32" t="n">
        <x:v>1218.2</x:v>
      </x:c>
      <x:c r="C43" s="34" t="n">
        <x:f>IFERROR(B43/B42-1,0)</x:f>
        <x:v>0.008376928680219997</x:v>
      </x:c>
      <x:c r="D43" s="34" t="n">
        <x:f>IFERROR(STDEV.S(C24:C43)*SQRT(252),0)</x:f>
        <x:v>0.14882223183221105</x:v>
      </x:c>
      <x:c r="E43" s="34" t="n">
        <x:f>IFERROR(B43/MAX($B$4:B43)-1,0)</x:f>
        <x:v>-0.040749635812433516</x:v>
      </x:c>
      <x:c r="F43" s="32" t="n">
        <x:v>16424</x:v>
      </x:c>
      <x:c r="G43" s="32" t="n">
        <x:v>-772</x:v>
      </x:c>
      <x:c r="H43" s="32" t="n">
        <x:v>353.28</x:v>
      </x:c>
      <x:c r="I43" s="32" t="n">
        <x:v>877.11</x:v>
      </x:c>
      <x:c r="J43" s="32" t="n">
        <x:v>1254.75</x:v>
      </x:c>
      <x:c r="K43" t="str">
        <x:v>Fallback dummy; replace by vnstock</x:v>
      </x:c>
    </x:row>
    <x:row r="44">
      <x:c r="A44" s="30" t="n">
        <x:v>45714</x:v>
      </x:c>
      <x:c r="B44" s="32" t="n">
        <x:v>1212.92</x:v>
      </x:c>
      <x:c r="C44" s="34" t="n">
        <x:f>IFERROR(B44/B43-1,0)</x:f>
        <x:v>-0.004334263667706395</x:v>
      </x:c>
      <x:c r="D44" s="34" t="n">
        <x:f>IFERROR(STDEV.S(C25:C44)*SQRT(252),0)</x:f>
        <x:v>0.1481781119361819</x:v>
      </x:c>
      <x:c r="E44" s="34" t="n">
        <x:f>IFERROR(B44/MAX($B$4:B44)-1,0)</x:f>
        <x:v>-0.04490727981416587</x:v>
      </x:c>
      <x:c r="F44" s="32" t="n">
        <x:v>17920</x:v>
      </x:c>
      <x:c r="G44" s="32" t="n">
        <x:v>-1313</x:v>
      </x:c>
      <x:c r="H44" s="32" t="n">
        <x:v>351.75</x:v>
      </x:c>
      <x:c r="I44" s="32" t="n">
        <x:v>873.3</x:v>
      </x:c>
      <x:c r="J44" s="32" t="n">
        <x:v>1249.31</x:v>
      </x:c>
      <x:c r="K44" t="str">
        <x:v>Fallback dummy; replace by vnstock</x:v>
      </x:c>
    </x:row>
    <x:row r="45">
      <x:c r="A45" s="30" t="n">
        <x:v>45715</x:v>
      </x:c>
      <x:c r="B45" s="32" t="n">
        <x:v>1210.88</x:v>
      </x:c>
      <x:c r="C45" s="34" t="n">
        <x:f>IFERROR(B45/B44-1,0)</x:f>
        <x:v>-0.0016818916334135903</x:v>
      </x:c>
      <x:c r="D45" s="34" t="n">
        <x:f>IFERROR(STDEV.S(C26:C45)*SQRT(252),0)</x:f>
        <x:v>0.1471374395659135</x:v>
      </x:c>
      <x:c r="E45" s="34" t="n">
        <x:f>IFERROR(B45/MAX($B$4:B45)-1,0)</x:f>
        <x:v>-0.046513642269380595</x:v>
      </x:c>
      <x:c r="F45" s="32" t="n">
        <x:v>18587</x:v>
      </x:c>
      <x:c r="G45" s="32" t="n">
        <x:v>121</x:v>
      </x:c>
      <x:c r="H45" s="32" t="n">
        <x:v>351.16</x:v>
      </x:c>
      <x:c r="I45" s="32" t="n">
        <x:v>871.84</x:v>
      </x:c>
      <x:c r="J45" s="32" t="n">
        <x:v>1247.21</x:v>
      </x:c>
      <x:c r="K45" t="str">
        <x:v>Fallback dummy; replace by vnstock</x:v>
      </x:c>
    </x:row>
    <x:row r="46">
      <x:c r="A46" s="30" t="n">
        <x:v>45716</x:v>
      </x:c>
      <x:c r="B46" s="32" t="n">
        <x:v>1217.61</x:v>
      </x:c>
      <x:c r="C46" s="34" t="n">
        <x:f>IFERROR(B46/B45-1,0)</x:f>
        <x:v>0.005557941331923777</x:v>
      </x:c>
      <x:c r="D46" s="34" t="n">
        <x:f>IFERROR(STDEV.S(C27:C46)*SQRT(252),0)</x:f>
        <x:v>0.13193293449276183</x:v>
      </x:c>
      <x:c r="E46" s="34" t="n">
        <x:f>IFERROR(B46/MAX($B$4:B46)-1,0)</x:f>
        <x:v>-0.041214221032324194</x:v>
      </x:c>
      <x:c r="F46" s="32" t="n">
        <x:v>22952</x:v>
      </x:c>
      <x:c r="G46" s="32" t="n">
        <x:v>-1170</x:v>
      </x:c>
      <x:c r="H46" s="32" t="n">
        <x:v>353.11</x:v>
      </x:c>
      <x:c r="I46" s="32" t="n">
        <x:v>876.68</x:v>
      </x:c>
      <x:c r="J46" s="32" t="n">
        <x:v>1254.14</x:v>
      </x:c>
      <x:c r="K46" t="str">
        <x:v>Fallback dummy; replace by vnstock</x:v>
      </x:c>
    </x:row>
    <x:row r="47">
      <x:c r="A47" s="30" t="n">
        <x:v>45719</x:v>
      </x:c>
      <x:c r="B47" s="32" t="n">
        <x:v>1243.99</x:v>
      </x:c>
      <x:c r="C47" s="34" t="n">
        <x:f>IFERROR(B47/B46-1,0)</x:f>
        <x:v>0.021665393681063794</x:v>
      </x:c>
      <x:c r="D47" s="34" t="n">
        <x:f>IFERROR(STDEV.S(C28:C47)*SQRT(252),0)</x:f>
        <x:v>0.15107680659348097</x:v>
      </x:c>
      <x:c r="E47" s="34" t="n">
        <x:f>IFERROR(B47/MAX($B$4:B47)-1,0)</x:f>
        <x:v>-0.020441749675184084</x:v>
      </x:c>
      <x:c r="F47" s="32" t="n">
        <x:v>17219</x:v>
      </x:c>
      <x:c r="G47" s="32" t="n">
        <x:v>-1140</x:v>
      </x:c>
      <x:c r="H47" s="32" t="n">
        <x:v>360.76</x:v>
      </x:c>
      <x:c r="I47" s="32" t="n">
        <x:v>895.67</x:v>
      </x:c>
      <x:c r="J47" s="32" t="n">
        <x:v>1281.31</x:v>
      </x:c>
      <x:c r="K47" t="str">
        <x:v>Fallback dummy; replace by vnstock</x:v>
      </x:c>
    </x:row>
    <x:row r="48">
      <x:c r="A48" s="30" t="n">
        <x:v>45720</x:v>
      </x:c>
      <x:c r="B48" s="32" t="n">
        <x:v>1248.79</x:v>
      </x:c>
      <x:c r="C48" s="34" t="n">
        <x:f>IFERROR(B48/B47-1,0)</x:f>
        <x:v>0.003858551917619968</x:v>
      </x:c>
      <x:c r="D48" s="34" t="n">
        <x:f>IFERROR(STDEV.S(C29:C48)*SQRT(252),0)</x:f>
        <x:v>0.15081908365677246</x:v>
      </x:c>
      <x:c r="E48" s="34" t="n">
        <x:f>IFERROR(B48/MAX($B$4:B48)-1,0)</x:f>
        <x:v>-0.016662073309972936</x:v>
      </x:c>
      <x:c r="F48" s="32" t="n">
        <x:v>24899</x:v>
      </x:c>
      <x:c r="G48" s="32" t="n">
        <x:v>-1074</x:v>
      </x:c>
      <x:c r="H48" s="32" t="n">
        <x:v>362.15</x:v>
      </x:c>
      <x:c r="I48" s="32" t="n">
        <x:v>899.13</x:v>
      </x:c>
      <x:c r="J48" s="32" t="n">
        <x:v>1286.26</x:v>
      </x:c>
      <x:c r="K48" t="str">
        <x:v>Fallback dummy; replace by vnstock</x:v>
      </x:c>
    </x:row>
    <x:row r="49">
      <x:c r="A49" s="30" t="n">
        <x:v>45721</x:v>
      </x:c>
      <x:c r="B49" s="32" t="n">
        <x:v>1249.6</x:v>
      </x:c>
      <x:c r="C49" s="34" t="n">
        <x:f>IFERROR(B49/B48-1,0)</x:f>
        <x:v>0.0006486278717798832</x:v>
      </x:c>
      <x:c r="D49" s="34" t="n">
        <x:f>IFERROR(STDEV.S(C30:C49)*SQRT(252),0)</x:f>
        <x:v>0.1504489592760581</x:v>
      </x:c>
      <x:c r="E49" s="34" t="n">
        <x:f>IFERROR(B49/MAX($B$4:B49)-1,0)</x:f>
        <x:v>-0.01602425292334353</x:v>
      </x:c>
      <x:c r="F49" s="32" t="n">
        <x:v>27702</x:v>
      </x:c>
      <x:c r="G49" s="32" t="n">
        <x:v>412</x:v>
      </x:c>
      <x:c r="H49" s="32" t="n">
        <x:v>362.38</x:v>
      </x:c>
      <x:c r="I49" s="32" t="n">
        <x:v>899.71</x:v>
      </x:c>
      <x:c r="J49" s="32" t="n">
        <x:v>1287.09</x:v>
      </x:c>
      <x:c r="K49" t="str">
        <x:v>Fallback dummy; replace by vnstock</x:v>
      </x:c>
    </x:row>
    <x:row r="50">
      <x:c r="A50" s="30" t="n">
        <x:v>45722</x:v>
      </x:c>
      <x:c r="B50" s="32" t="n">
        <x:v>1249.8</x:v>
      </x:c>
      <x:c r="C50" s="34" t="n">
        <x:f>IFERROR(B50/B49-1,0)</x:f>
        <x:v>0.00016005121638928976</x:v>
      </x:c>
      <x:c r="D50" s="34" t="n">
        <x:f>IFERROR(STDEV.S(C31:C50)*SQRT(252),0)</x:f>
        <x:v>0.14928427384457463</x:v>
      </x:c>
      <x:c r="E50" s="34" t="n">
        <x:f>IFERROR(B50/MAX($B$4:B50)-1,0)</x:f>
        <x:v>-0.015866766408126343</x:v>
      </x:c>
      <x:c r="F50" s="32" t="n">
        <x:v>20618</x:v>
      </x:c>
      <x:c r="G50" s="32" t="n">
        <x:v>70</x:v>
      </x:c>
      <x:c r="H50" s="32" t="n">
        <x:v>362.44</x:v>
      </x:c>
      <x:c r="I50" s="32" t="n">
        <x:v>899.86</x:v>
      </x:c>
      <x:c r="J50" s="32" t="n">
        <x:v>1287.3</x:v>
      </x:c>
      <x:c r="K50" t="str">
        <x:v>Fallback dummy; replace by vnstock</x:v>
      </x:c>
    </x:row>
    <x:row r="51">
      <x:c r="A51" s="30" t="n">
        <x:v>45723</x:v>
      </x:c>
      <x:c r="B51" s="32" t="n">
        <x:v>1261.12</x:v>
      </x:c>
      <x:c r="C51" s="34" t="n">
        <x:f>IFERROR(B51/B50-1,0)</x:f>
        <x:v>0.009057449191870681</x:v>
      </x:c>
      <x:c r="D51" s="34" t="n">
        <x:f>IFERROR(STDEV.S(C32:C51)*SQRT(252),0)</x:f>
        <x:v>0.14069730163287678</x:v>
      </x:c>
      <x:c r="E51" s="34" t="n">
        <x:f>IFERROR(B51/MAX($B$4:B51)-1,0)</x:f>
        <x:v>-0.006953029646836639</x:v>
      </x:c>
      <x:c r="F51" s="32" t="n">
        <x:v>13149</x:v>
      </x:c>
      <x:c r="G51" s="32" t="n">
        <x:v>874</x:v>
      </x:c>
      <x:c r="H51" s="32" t="n">
        <x:v>365.72</x:v>
      </x:c>
      <x:c r="I51" s="32" t="n">
        <x:v>908</x:v>
      </x:c>
      <x:c r="J51" s="32" t="n">
        <x:v>1298.95</x:v>
      </x:c>
      <x:c r="K51" t="str">
        <x:v>Fallback dummy; replace by vnstock</x:v>
      </x:c>
    </x:row>
    <x:row r="52">
      <x:c r="A52" s="30" t="n">
        <x:v>45726</x:v>
      </x:c>
      <x:c r="B52" s="32" t="n">
        <x:v>1264.86</x:v>
      </x:c>
      <x:c r="C52" s="34" t="n">
        <x:f>IFERROR(B52/B51-1,0)</x:f>
        <x:v>0.0029656178634864805</x:v>
      </x:c>
      <x:c r="D52" s="34" t="n">
        <x:f>IFERROR(STDEV.S(C33:C52)*SQRT(252),0)</x:f>
        <x:v>0.137052017888649</x:v>
      </x:c>
      <x:c r="E52" s="34" t="n">
        <x:f>IFERROR(B52/MAX($B$4:B52)-1,0)</x:f>
        <x:v>-0.004008031812276158</x:v>
      </x:c>
      <x:c r="F52" s="32" t="n">
        <x:v>18874</x:v>
      </x:c>
      <x:c r="G52" s="32" t="n">
        <x:v>946</x:v>
      </x:c>
      <x:c r="H52" s="32" t="n">
        <x:v>366.81</x:v>
      </x:c>
      <x:c r="I52" s="32" t="n">
        <x:v>910.7</x:v>
      </x:c>
      <x:c r="J52" s="32" t="n">
        <x:v>1302.81</x:v>
      </x:c>
      <x:c r="K52" t="str">
        <x:v>Fallback dummy; replace by vnstock</x:v>
      </x:c>
    </x:row>
    <x:row r="53">
      <x:c r="A53" s="30" t="n">
        <x:v>45727</x:v>
      </x:c>
      <x:c r="B53" s="32" t="n">
        <x:v>1264.47</x:v>
      </x:c>
      <x:c r="C53" s="34" t="n">
        <x:f>IFERROR(B53/B52-1,0)</x:f>
        <x:v>-0.0003083345192351761</x:v>
      </x:c>
      <x:c r="D53" s="34" t="n">
        <x:f>IFERROR(STDEV.S(C34:C53)*SQRT(252),0)</x:f>
        <x:v>0.13778653672256969</x:v>
      </x:c>
      <x:c r="E53" s="34" t="n">
        <x:f>IFERROR(B53/MAX($B$4:B53)-1,0)</x:f>
        <x:v>-0.004315130516949539</x:v>
      </x:c>
      <x:c r="F53" s="32" t="n">
        <x:v>16348</x:v>
      </x:c>
      <x:c r="G53" s="32" t="n">
        <x:v>-58</x:v>
      </x:c>
      <x:c r="H53" s="32" t="n">
        <x:v>366.7</x:v>
      </x:c>
      <x:c r="I53" s="32" t="n">
        <x:v>910.42</x:v>
      </x:c>
      <x:c r="J53" s="32" t="n">
        <x:v>1302.41</x:v>
      </x:c>
      <x:c r="K53" t="str">
        <x:v>Fallback dummy; replace by vnstock</x:v>
      </x:c>
    </x:row>
    <x:row r="54">
      <x:c r="A54" s="30" t="n">
        <x:v>45728</x:v>
      </x:c>
      <x:c r="B54" s="32" t="n">
        <x:v>1252.84</x:v>
      </x:c>
      <x:c r="C54" s="34" t="n">
        <x:f>IFERROR(B54/B53-1,0)</x:f>
        <x:v>-0.009197529399669557</x:v>
      </x:c>
      <x:c r="D54" s="34" t="n">
        <x:f>IFERROR(STDEV.S(C35:C54)*SQRT(252),0)</x:f>
        <x:v>0.14212684148688112</x:v>
      </x:c>
      <x:c r="E54" s="34" t="n">
        <x:f>IFERROR(B54/MAX($B$4:B54)-1,0)</x:f>
        <x:v>-0.013472971376825904</x:v>
      </x:c>
      <x:c r="F54" s="32" t="n">
        <x:v>21032</x:v>
      </x:c>
      <x:c r="G54" s="32" t="n">
        <x:v>-6</x:v>
      </x:c>
      <x:c r="H54" s="32" t="n">
        <x:v>363.32</x:v>
      </x:c>
      <x:c r="I54" s="32" t="n">
        <x:v>902.05</x:v>
      </x:c>
      <x:c r="J54" s="32" t="n">
        <x:v>1290.43</x:v>
      </x:c>
      <x:c r="K54" t="str">
        <x:v>Fallback dummy; replace by vnstock</x:v>
      </x:c>
    </x:row>
    <x:row r="55">
      <x:c r="A55" s="30" t="n">
        <x:v>45729</x:v>
      </x:c>
      <x:c r="B55" s="32" t="n">
        <x:v>1251.14</x:v>
      </x:c>
      <x:c r="C55" s="34" t="n">
        <x:f>IFERROR(B55/B54-1,0)</x:f>
        <x:v>-0.0013569170843841238</x:v>
      </x:c>
      <x:c r="D55" s="34" t="n">
        <x:f>IFERROR(STDEV.S(C36:C55)*SQRT(252),0)</x:f>
        <x:v>0.1423456813359102</x:v>
      </x:c>
      <x:c r="E55" s="34" t="n">
        <x:f>IFERROR(B55/MAX($B$4:B55)-1,0)</x:f>
        <x:v>-0.014811606756171436</x:v>
      </x:c>
      <x:c r="F55" s="32" t="n">
        <x:v>20978</x:v>
      </x:c>
      <x:c r="G55" s="32" t="n">
        <x:v>135</x:v>
      </x:c>
      <x:c r="H55" s="32" t="n">
        <x:v>362.83</x:v>
      </x:c>
      <x:c r="I55" s="32" t="n">
        <x:v>900.82</x:v>
      </x:c>
      <x:c r="J55" s="32" t="n">
        <x:v>1288.67</x:v>
      </x:c>
      <x:c r="K55" t="str">
        <x:v>Fallback dummy; replace by vnstock</x:v>
      </x:c>
    </x:row>
    <x:row r="56">
      <x:c r="A56" s="30" t="n">
        <x:v>45730</x:v>
      </x:c>
      <x:c r="B56" s="32" t="n">
        <x:v>1245.6</x:v>
      </x:c>
      <x:c r="C56" s="34" t="n">
        <x:f>IFERROR(B56/B55-1,0)</x:f>
        <x:v>-0.004427961698930782</x:v>
      </x:c>
      <x:c r="D56" s="34" t="n">
        <x:f>IFERROR(STDEV.S(C37:C56)*SQRT(252),0)</x:f>
        <x:v>0.14371902467245354</x:v>
      </x:c>
      <x:c r="E56" s="34" t="n">
        <x:f>IFERROR(B56/MAX($B$4:B56)-1,0)</x:f>
        <x:v>-0.019173983227686264</x:v>
      </x:c>
      <x:c r="F56" s="32" t="n">
        <x:v>14388</x:v>
      </x:c>
      <x:c r="G56" s="32" t="n">
        <x:v>-408</x:v>
      </x:c>
      <x:c r="H56" s="32" t="n">
        <x:v>361.23</x:v>
      </x:c>
      <x:c r="I56" s="32" t="n">
        <x:v>896.83</x:v>
      </x:c>
      <x:c r="J56" s="32" t="n">
        <x:v>1282.97</x:v>
      </x:c>
      <x:c r="K56" t="str">
        <x:v>Fallback dummy; replace by vnstock</x:v>
      </x:c>
    </x:row>
    <x:row r="57">
      <x:c r="A57" s="30" t="n">
        <x:v>45733</x:v>
      </x:c>
      <x:c r="B57" s="32" t="n">
        <x:v>1268.92</x:v>
      </x:c>
      <x:c r="C57" s="34" t="n">
        <x:f>IFERROR(B57/B56-1,0)</x:f>
        <x:v>0.01872190109184335</x:v>
      </x:c>
      <x:c r="D57" s="34" t="n">
        <x:f>IFERROR(STDEV.S(C38:C57)*SQRT(252),0)</x:f>
        <x:v>0.14438698719158286</x:v>
      </x:c>
      <x:c r="E57" s="34" t="n">
        <x:f>IFERROR(B57/MAX($B$4:B57)-1,0)</x:f>
        <x:v>-0.0008110555533682451</x:v>
      </x:c>
      <x:c r="F57" s="32" t="n">
        <x:v>21482</x:v>
      </x:c>
      <x:c r="G57" s="32" t="n">
        <x:v>237</x:v>
      </x:c>
      <x:c r="H57" s="32" t="n">
        <x:v>367.99</x:v>
      </x:c>
      <x:c r="I57" s="32" t="n">
        <x:v>913.62</x:v>
      </x:c>
      <x:c r="J57" s="32" t="n">
        <x:v>1306.99</x:v>
      </x:c>
      <x:c r="K57" t="str">
        <x:v>Fallback dummy; replace by vnstock</x:v>
      </x:c>
    </x:row>
    <x:row r="58">
      <x:c r="A58" s="30" t="n">
        <x:v>45734</x:v>
      </x:c>
      <x:c r="B58" s="32" t="n">
        <x:v>1265.44</x:v>
      </x:c>
      <x:c r="C58" s="34" t="n">
        <x:f>IFERROR(B58/B57-1,0)</x:f>
        <x:v>-0.002742489676260118</x:v>
      </x:c>
      <x:c r="D58" s="34" t="n">
        <x:f>IFERROR(STDEV.S(C39:C58)*SQRT(252),0)</x:f>
        <x:v>0.14214764097617558</x:v>
      </x:c>
      <x:c r="E58" s="34" t="n">
        <x:f>IFERROR(B58/MAX($B$4:B58)-1,0)</x:f>
        <x:v>-0.003551320918146361</x:v>
      </x:c>
      <x:c r="F58" s="32" t="n">
        <x:v>18015</x:v>
      </x:c>
      <x:c r="G58" s="32" t="n">
        <x:v>-107</x:v>
      </x:c>
      <x:c r="H58" s="32" t="n">
        <x:v>366.98</x:v>
      </x:c>
      <x:c r="I58" s="32" t="n">
        <x:v>911.12</x:v>
      </x:c>
      <x:c r="J58" s="32" t="n">
        <x:v>1303.41</x:v>
      </x:c>
      <x:c r="K58" t="str">
        <x:v>Fallback dummy; replace by vnstock</x:v>
      </x:c>
    </x:row>
    <x:row r="59">
      <x:c r="A59" s="30" t="n">
        <x:v>45735</x:v>
      </x:c>
      <x:c r="B59" s="32" t="n">
        <x:v>1262.27</x:v>
      </x:c>
      <x:c r="C59" s="34" t="n">
        <x:f>IFERROR(B59/B58-1,0)</x:f>
        <x:v>-0.0025050575293968924</x:v>
      </x:c>
      <x:c r="D59" s="34" t="n">
        <x:f>IFERROR(STDEV.S(C40:C59)*SQRT(252),0)</x:f>
        <x:v>0.1365685406879065</x:v>
      </x:c>
      <x:c r="E59" s="34" t="n">
        <x:f>IFERROR(B59/MAX($B$4:B59)-1,0)</x:f>
        <x:v>-0.006047482184338038</x:v>
      </x:c>
      <x:c r="F59" s="32" t="n">
        <x:v>21862</x:v>
      </x:c>
      <x:c r="G59" s="32" t="n">
        <x:v>-13</x:v>
      </x:c>
      <x:c r="H59" s="32" t="n">
        <x:v>366.06</x:v>
      </x:c>
      <x:c r="I59" s="32" t="n">
        <x:v>908.83</x:v>
      </x:c>
      <x:c r="J59" s="32" t="n">
        <x:v>1300.13</x:v>
      </x:c>
      <x:c r="K59" t="str">
        <x:v>Fallback dummy; replace by vnstock</x:v>
      </x:c>
    </x:row>
    <x:row r="60">
      <x:c r="A60" s="30" t="n">
        <x:v>45736</x:v>
      </x:c>
      <x:c r="B60" s="32" t="n">
        <x:v>1261.74</x:v>
      </x:c>
      <x:c r="C60" s="34" t="n">
        <x:f>IFERROR(B60/B59-1,0)</x:f>
        <x:v>-0.0004198784729099181</x:v>
      </x:c>
      <x:c r="D60" s="34" t="n">
        <x:f>IFERROR(STDEV.S(C41:C60)*SQRT(252),0)</x:f>
        <x:v>0.13433013732067625</x:v>
      </x:c>
      <x:c r="E60" s="34" t="n">
        <x:f>IFERROR(B60/MAX($B$4:B60)-1,0)</x:f>
        <x:v>-0.006464821449663427</x:v>
      </x:c>
      <x:c r="F60" s="32" t="n">
        <x:v>25386</x:v>
      </x:c>
      <x:c r="G60" s="32" t="n">
        <x:v>-312</x:v>
      </x:c>
      <x:c r="H60" s="32" t="n">
        <x:v>365.9</x:v>
      </x:c>
      <x:c r="I60" s="32" t="n">
        <x:v>908.45</x:v>
      </x:c>
      <x:c r="J60" s="32" t="n">
        <x:v>1299.59</x:v>
      </x:c>
      <x:c r="K60" t="str">
        <x:v>Fallback dummy; replace by vnstock</x:v>
      </x:c>
    </x:row>
    <x:row r="61">
      <x:c r="A61" s="30" t="n">
        <x:v>45737</x:v>
      </x:c>
      <x:c r="B61" s="32" t="n">
        <x:v>1251.93</x:v>
      </x:c>
      <x:c r="C61" s="34" t="n">
        <x:f>IFERROR(B61/B60-1,0)</x:f>
        <x:v>-0.0077749774121450566</x:v>
      </x:c>
      <x:c r="D61" s="34" t="n">
        <x:f>IFERROR(STDEV.S(C42:C61)*SQRT(252),0)</x:f>
        <x:v>0.12852071860705697</x:v>
      </x:c>
      <x:c r="E61" s="34" t="n">
        <x:f>IFERROR(B61/MAX($B$4:B61)-1,0)</x:f>
        <x:v>-0.014189535021063793</x:v>
      </x:c>
      <x:c r="F61" s="32" t="n">
        <x:v>22582</x:v>
      </x:c>
      <x:c r="G61" s="32" t="n">
        <x:v>727</x:v>
      </x:c>
      <x:c r="H61" s="32" t="n">
        <x:v>363.06</x:v>
      </x:c>
      <x:c r="I61" s="32" t="n">
        <x:v>901.39</x:v>
      </x:c>
      <x:c r="J61" s="32" t="n">
        <x:v>1289.49</x:v>
      </x:c>
      <x:c r="K61" t="str">
        <x:v>Fallback dummy; replace by vnstock</x:v>
      </x:c>
    </x:row>
    <x:row r="62">
      <x:c r="A62" s="30" t="n">
        <x:v>45740</x:v>
      </x:c>
      <x:c r="B62" s="32" t="n">
        <x:v>1253.12</x:v>
      </x:c>
      <x:c r="C62" s="34" t="n">
        <x:f>IFERROR(B62/B61-1,0)</x:f>
        <x:v>0.0009505323780081287</x:v>
      </x:c>
      <x:c r="D62" s="34" t="n">
        <x:f>IFERROR(STDEV.S(C43:C62)*SQRT(252),0)</x:f>
        <x:v>0.1240889562292959</x:v>
      </x:c>
      <x:c r="E62" s="34" t="n">
        <x:f>IFERROR(B62/MAX($B$4:B62)-1,0)</x:f>
        <x:v>-0.013252490255521998</x:v>
      </x:c>
      <x:c r="F62" s="32" t="n">
        <x:v>16252</x:v>
      </x:c>
      <x:c r="G62" s="32" t="n">
        <x:v>-1480</x:v>
      </x:c>
      <x:c r="H62" s="32" t="n">
        <x:v>363.4</x:v>
      </x:c>
      <x:c r="I62" s="32" t="n">
        <x:v>902.24</x:v>
      </x:c>
      <x:c r="J62" s="32" t="n">
        <x:v>1290.71</x:v>
      </x:c>
      <x:c r="K62" t="str">
        <x:v>Fallback dummy; replace by vnstock</x:v>
      </x:c>
    </x:row>
    <x:row r="63">
      <x:c r="A63" s="30" t="n">
        <x:v>45741</x:v>
      </x:c>
      <x:c r="B63" s="32" t="n">
        <x:v>1247.44</x:v>
      </x:c>
      <x:c r="C63" s="34" t="n">
        <x:f>IFERROR(B63/B62-1,0)</x:f>
        <x:v>-0.00453268641470872</x:v>
      </x:c>
      <x:c r="D63" s="34" t="n">
        <x:f>IFERROR(STDEV.S(C44:C63)*SQRT(252),0)</x:f>
        <x:v>0.123557718554447</x:v>
      </x:c>
      <x:c r="E63" s="34" t="n">
        <x:f>IFERROR(B63/MAX($B$4:B63)-1,0)</x:f>
        <x:v>-0.017725107287688502</x:v>
      </x:c>
      <x:c r="F63" s="32" t="n">
        <x:v>20652</x:v>
      </x:c>
      <x:c r="G63" s="32" t="n">
        <x:v>-104</x:v>
      </x:c>
      <x:c r="H63" s="32" t="n">
        <x:v>361.76</x:v>
      </x:c>
      <x:c r="I63" s="32" t="n">
        <x:v>898.15</x:v>
      </x:c>
      <x:c r="J63" s="32" t="n">
        <x:v>1284.86</x:v>
      </x:c>
      <x:c r="K63" t="str">
        <x:v>Fallback dummy; replace by vnstock</x:v>
      </x:c>
    </x:row>
    <x:row r="64">
      <x:c r="A64" s="30" t="n">
        <x:v>45742</x:v>
      </x:c>
      <x:c r="B64" s="32" t="n">
        <x:v>1252.59</x:v>
      </x:c>
      <x:c r="C64" s="34" t="n">
        <x:f>IFERROR(B64/B63-1,0)</x:f>
        <x:v>0.004128455075995463</x:v>
      </x:c>
      <x:c r="D64" s="34" t="n">
        <x:f>IFERROR(STDEV.S(C45:C64)*SQRT(252),0)</x:f>
        <x:v>0.1221602260625725</x:v>
      </x:c>
      <x:c r="E64" s="34" t="n">
        <x:f>IFERROR(B64/MAX($B$4:B64)-1,0)</x:f>
        <x:v>-0.013669829520847387</x:v>
      </x:c>
      <x:c r="F64" s="32" t="n">
        <x:v>13640</x:v>
      </x:c>
      <x:c r="G64" s="32" t="n">
        <x:v>-1569</x:v>
      </x:c>
      <x:c r="H64" s="32" t="n">
        <x:v>363.25</x:v>
      </x:c>
      <x:c r="I64" s="32" t="n">
        <x:v>901.86</x:v>
      </x:c>
      <x:c r="J64" s="32" t="n">
        <x:v>1290.17</x:v>
      </x:c>
      <x:c r="K64" t="str">
        <x:v>Fallback dummy; replace by vnstock</x:v>
      </x:c>
    </x:row>
    <x:row r="65">
      <x:c r="A65" s="30" t="n">
        <x:v>45743</x:v>
      </x:c>
      <x:c r="B65" s="32" t="n">
        <x:v>1268.52</x:v>
      </x:c>
      <x:c r="C65" s="34" t="n">
        <x:f>IFERROR(B65/B64-1,0)</x:f>
        <x:v>0.012717649031207312</x:v>
      </x:c>
      <x:c r="D65" s="34" t="n">
        <x:f>IFERROR(STDEV.S(C46:C65)*SQRT(252),0)</x:f>
        <x:v>0.12754400050195794</x:v>
      </x:c>
      <x:c r="E65" s="34" t="n">
        <x:f>IFERROR(B65/MAX($B$4:B65)-1,0)</x:f>
        <x:v>-0.0011260285838025075</x:v>
      </x:c>
      <x:c r="F65" s="32" t="n">
        <x:v>17828</x:v>
      </x:c>
      <x:c r="G65" s="32" t="n">
        <x:v>-618</x:v>
      </x:c>
      <x:c r="H65" s="32" t="n">
        <x:v>367.87</x:v>
      </x:c>
      <x:c r="I65" s="32" t="n">
        <x:v>913.34</x:v>
      </x:c>
      <x:c r="J65" s="32" t="n">
        <x:v>1306.58</x:v>
      </x:c>
      <x:c r="K65" t="str">
        <x:v>Fallback dummy; replace by vnstock</x:v>
      </x:c>
    </x:row>
    <x:row r="66">
      <x:c r="A66" s="30" t="n">
        <x:v>45744</x:v>
      </x:c>
      <x:c r="B66" s="32" t="n">
        <x:v>1288.5</x:v>
      </x:c>
      <x:c r="C66" s="34" t="n">
        <x:f>IFERROR(B66/B65-1,0)</x:f>
        <x:v>0.015750638539400175</x:v>
      </x:c>
      <x:c r="D66" s="34" t="n">
        <x:f>IFERROR(STDEV.S(C47:C66)*SQRT(252),0)</x:f>
        <x:v>0.13579984216377955</x:v>
      </x:c>
      <x:c r="E66" s="34" t="n">
        <x:f>IFERROR(B66/MAX($B$4:B66)-1,0)</x:f>
        <x:v>0</x:v>
      </x:c>
      <x:c r="F66" s="32" t="n">
        <x:v>17869</x:v>
      </x:c>
      <x:c r="G66" s="32" t="n">
        <x:v>335</x:v>
      </x:c>
      <x:c r="H66" s="32" t="n">
        <x:v>373.66</x:v>
      </x:c>
      <x:c r="I66" s="32" t="n">
        <x:v>927.72</x:v>
      </x:c>
      <x:c r="J66" s="32" t="n">
        <x:v>1327.15</x:v>
      </x:c>
      <x:c r="K66" t="str">
        <x:v>Fallback dummy; replace by vnstock</x:v>
      </x:c>
    </x:row>
    <x:row r="67">
      <x:c r="A67" s="30" t="n">
        <x:v>45747</x:v>
      </x:c>
      <x:c r="B67" s="32" t="n">
        <x:v>1248.37</x:v>
      </x:c>
      <x:c r="C67" s="34" t="n">
        <x:f>IFERROR(B67/B66-1,0)</x:f>
        <x:v>-0.031144741948001653</x:v>
      </x:c>
      <x:c r="D67" s="34" t="n">
        <x:f>IFERROR(STDEV.S(C48:C67)*SQRT(252),0)</x:f>
        <x:v>0.16507366639286755</x:v>
      </x:c>
      <x:c r="E67" s="34" t="n">
        <x:f>IFERROR(B67/MAX($B$4:B67)-1,0)</x:f>
        <x:v>-0.031144741948001653</x:v>
      </x:c>
      <x:c r="F67" s="32" t="n">
        <x:v>26785</x:v>
      </x:c>
      <x:c r="G67" s="32" t="n">
        <x:v>944</x:v>
      </x:c>
      <x:c r="H67" s="32" t="n">
        <x:v>362.03</x:v>
      </x:c>
      <x:c r="I67" s="32" t="n">
        <x:v>898.83</x:v>
      </x:c>
      <x:c r="J67" s="32" t="n">
        <x:v>1285.83</x:v>
      </x:c>
      <x:c r="K67" t="str">
        <x:v>Fallback dummy; replace by vnstock</x:v>
      </x:c>
    </x:row>
    <x:row r="68">
      <x:c r="A68" s="30" t="n">
        <x:v>45748</x:v>
      </x:c>
      <x:c r="B68" s="32" t="n">
        <x:v>1238.91</x:v>
      </x:c>
      <x:c r="C68" s="34" t="n">
        <x:f>IFERROR(B68/B67-1,0)</x:f>
        <x:v>-0.007577881557550903</x:v>
      </x:c>
      <x:c r="D68" s="34" t="n">
        <x:f>IFERROR(STDEV.S(C49:C68)*SQRT(252),0)</x:f>
        <x:v>0.1667205406376676</x:v>
      </x:c>
      <x:c r="E68" s="34" t="n">
        <x:f>IFERROR(B68/MAX($B$4:B68)-1,0)</x:f>
        <x:v>-0.038486612339930115</x:v>
      </x:c>
      <x:c r="F68" s="32" t="n">
        <x:v>16703</x:v>
      </x:c>
      <x:c r="G68" s="32" t="n">
        <x:v>-963</x:v>
      </x:c>
      <x:c r="H68" s="32" t="n">
        <x:v>359.28</x:v>
      </x:c>
      <x:c r="I68" s="32" t="n">
        <x:v>892.02</x:v>
      </x:c>
      <x:c r="J68" s="32" t="n">
        <x:v>1276.08</x:v>
      </x:c>
      <x:c r="K68" t="str">
        <x:v>Fallback dummy; replace by vnstock</x:v>
      </x:c>
    </x:row>
    <x:row r="69">
      <x:c r="A69" s="30" t="n">
        <x:v>45749</x:v>
      </x:c>
      <x:c r="B69" s="32" t="n">
        <x:v>1234.82</x:v>
      </x:c>
      <x:c r="C69" s="34" t="n">
        <x:f>IFERROR(B69/B68-1,0)</x:f>
        <x:v>-0.0033012890363304237</x:v>
      </x:c>
      <x:c r="D69" s="34" t="n">
        <x:f>IFERROR(STDEV.S(C50:C69)*SQRT(252),0)</x:f>
        <x:v>0.16699783866098628</x:v>
      </x:c>
      <x:c r="E69" s="34" t="n">
        <x:f>IFERROR(B69/MAX($B$4:B69)-1,0)</x:f>
        <x:v>-0.04166084594489716</x:v>
      </x:c>
      <x:c r="F69" s="32" t="n">
        <x:v>23214</x:v>
      </x:c>
      <x:c r="G69" s="32" t="n">
        <x:v>-430</x:v>
      </x:c>
      <x:c r="H69" s="32" t="n">
        <x:v>358.1</x:v>
      </x:c>
      <x:c r="I69" s="32" t="n">
        <x:v>889.07</x:v>
      </x:c>
      <x:c r="J69" s="32" t="n">
        <x:v>1271.87</x:v>
      </x:c>
      <x:c r="K69" t="str">
        <x:v>Fallback dummy; replace by vnstock</x:v>
      </x:c>
    </x:row>
    <x:row r="70">
      <x:c r="A70" s="30" t="n">
        <x:v>45750</x:v>
      </x:c>
      <x:c r="B70" s="32" t="n">
        <x:v>1242.14</x:v>
      </x:c>
      <x:c r="C70" s="34" t="n">
        <x:f>IFERROR(B70/B69-1,0)</x:f>
        <x:v>0.005927989504543207</x:v>
      </x:c>
      <x:c r="D70" s="34" t="n">
        <x:f>IFERROR(STDEV.S(C51:C70)*SQRT(252),0)</x:f>
        <x:v>0.16856709279127502</x:v>
      </x:c>
      <x:c r="E70" s="34" t="n">
        <x:f>IFERROR(B70/MAX($B$4:B70)-1,0)</x:f>
        <x:v>-0.035979821497865605</x:v>
      </x:c>
      <x:c r="F70" s="32" t="n">
        <x:v>27471</x:v>
      </x:c>
      <x:c r="G70" s="32" t="n">
        <x:v>-623</x:v>
      </x:c>
      <x:c r="H70" s="32" t="n">
        <x:v>360.22</x:v>
      </x:c>
      <x:c r="I70" s="32" t="n">
        <x:v>894.34</x:v>
      </x:c>
      <x:c r="J70" s="32" t="n">
        <x:v>1279.4</x:v>
      </x:c>
      <x:c r="K70" t="str">
        <x:v>Fallback dummy; replace by vnstock</x:v>
      </x:c>
    </x:row>
    <x:row r="71">
      <x:c r="A71" s="30" t="n">
        <x:v>45751</x:v>
      </x:c>
      <x:c r="B71" s="32" t="n">
        <x:v>1231.2</x:v>
      </x:c>
      <x:c r="C71" s="34" t="n">
        <x:f>IFERROR(B71/B70-1,0)</x:f>
        <x:v>-0.008807380810536669</x:v>
      </x:c>
      <x:c r="D71" s="34" t="n">
        <x:f>IFERROR(STDEV.S(C52:C71)*SQRT(252),0)</x:f>
        <x:v>0.1674032413302653</x:v>
      </x:c>
      <x:c r="E71" s="34" t="n">
        <x:f>IFERROR(B71/MAX($B$4:B71)-1,0)</x:f>
        <x:v>-0.04447031431897552</x:v>
      </x:c>
      <x:c r="F71" s="32" t="n">
        <x:v>12902</x:v>
      </x:c>
      <x:c r="G71" s="32" t="n">
        <x:v>-147</x:v>
      </x:c>
      <x:c r="H71" s="32" t="n">
        <x:v>357.05</x:v>
      </x:c>
      <x:c r="I71" s="32" t="n">
        <x:v>886.46</x:v>
      </x:c>
      <x:c r="J71" s="32" t="n">
        <x:v>1268.13</x:v>
      </x:c>
      <x:c r="K71" t="str">
        <x:v>Fallback dummy; replace by vnstock</x:v>
      </x:c>
    </x:row>
    <x:row r="72">
      <x:c r="A72" s="30" t="n">
        <x:v>45754</x:v>
      </x:c>
      <x:c r="B72" s="32" t="n">
        <x:v>1228.68</x:v>
      </x:c>
      <x:c r="C72" s="34" t="n">
        <x:f>IFERROR(B72/B71-1,0)</x:f>
        <x:v>-0.0020467836257309635</x:v>
      </x:c>
      <x:c r="D72" s="34" t="n">
        <x:f>IFERROR(STDEV.S(C53:C72)*SQRT(252),0)</x:f>
        <x:v>0.16671422085668472</x:v>
      </x:c>
      <x:c r="E72" s="34" t="n">
        <x:f>IFERROR(B72/MAX($B$4:B72)-1,0)</x:f>
        <x:v>-0.046426076833527286</x:v>
      </x:c>
      <x:c r="F72" s="32" t="n">
        <x:v>16819</x:v>
      </x:c>
      <x:c r="G72" s="32" t="n">
        <x:v>1138</x:v>
      </x:c>
      <x:c r="H72" s="32" t="n">
        <x:v>356.32</x:v>
      </x:c>
      <x:c r="I72" s="32" t="n">
        <x:v>884.65</x:v>
      </x:c>
      <x:c r="J72" s="32" t="n">
        <x:v>1265.54</x:v>
      </x:c>
      <x:c r="K72" t="str">
        <x:v>Fallback dummy; replace by vnstock</x:v>
      </x:c>
    </x:row>
    <x:row r="73">
      <x:c r="A73" s="30" t="n">
        <x:v>45755</x:v>
      </x:c>
      <x:c r="B73" s="32" t="n">
        <x:v>1236.75</x:v>
      </x:c>
      <x:c r="C73" s="34" t="n">
        <x:f>IFERROR(B73/B72-1,0)</x:f>
        <x:v>0.006568024221115243</x:v>
      </x:c>
      <x:c r="D73" s="34" t="n">
        <x:f>IFERROR(STDEV.S(C54:C73)*SQRT(252),0)</x:f>
        <x:v>0.16908001857572236</x:v>
      </x:c>
      <x:c r="E73" s="34" t="n">
        <x:f>IFERROR(B73/MAX($B$4:B73)-1,0)</x:f>
        <x:v>-0.040162980209546006</x:v>
      </x:c>
      <x:c r="F73" s="32" t="n">
        <x:v>27395</x:v>
      </x:c>
      <x:c r="G73" s="32" t="n">
        <x:v>411</x:v>
      </x:c>
      <x:c r="H73" s="32" t="n">
        <x:v>358.66</x:v>
      </x:c>
      <x:c r="I73" s="32" t="n">
        <x:v>890.46</x:v>
      </x:c>
      <x:c r="J73" s="32" t="n">
        <x:v>1273.85</x:v>
      </x:c>
      <x:c r="K73" t="str">
        <x:v>Fallback dummy; replace by vnstock</x:v>
      </x:c>
    </x:row>
    <x:row r="74">
      <x:c r="A74" s="30" t="n">
        <x:v>45756</x:v>
      </x:c>
      <x:c r="B74" s="32" t="n">
        <x:v>1264</x:v>
      </x:c>
      <x:c r="C74" s="34" t="n">
        <x:f>IFERROR(B74/B73-1,0)</x:f>
        <x:v>0.022033555690317286</x:v>
      </x:c>
      <x:c r="D74" s="34" t="n">
        <x:f>IFERROR(STDEV.S(C55:C74)*SQRT(252),0)</x:f>
        <x:v>0.18474571607407378</x:v>
      </x:c>
      <x:c r="E74" s="34" t="n">
        <x:f>IFERROR(B74/MAX($B$4:B74)-1,0)</x:f>
        <x:v>-0.019014357780364755</x:v>
      </x:c>
      <x:c r="F74" s="32" t="n">
        <x:v>18859</x:v>
      </x:c>
      <x:c r="G74" s="32" t="n">
        <x:v>-220</x:v>
      </x:c>
      <x:c r="H74" s="32" t="n">
        <x:v>366.56</x:v>
      </x:c>
      <x:c r="I74" s="32" t="n">
        <x:v>910.08</x:v>
      </x:c>
      <x:c r="J74" s="32" t="n">
        <x:v>1301.92</x:v>
      </x:c>
      <x:c r="K74" t="str">
        <x:v>Fallback dummy; replace by vnstock</x:v>
      </x:c>
    </x:row>
    <x:row r="75">
      <x:c r="A75" s="30" t="n">
        <x:v>45757</x:v>
      </x:c>
      <x:c r="B75" s="32" t="n">
        <x:v>1264.71</x:v>
      </x:c>
      <x:c r="C75" s="34" t="n">
        <x:f>IFERROR(B75/B74-1,0)</x:f>
        <x:v>0.0005617088607594578</x:v>
      </x:c>
      <x:c r="D75" s="34" t="n">
        <x:f>IFERROR(STDEV.S(C56:C75)*SQRT(252),0)</x:f>
        <x:v>0.1846143189795173</x:v>
      </x:c>
      <x:c r="E75" s="34" t="n">
        <x:f>IFERROR(B75/MAX($B$4:B75)-1,0)</x:f>
        <x:v>-0.018463329452852117</x:v>
      </x:c>
      <x:c r="F75" s="32" t="n">
        <x:v>25801</x:v>
      </x:c>
      <x:c r="G75" s="32" t="n">
        <x:v>-227</x:v>
      </x:c>
      <x:c r="H75" s="32" t="n">
        <x:v>366.77</x:v>
      </x:c>
      <x:c r="I75" s="32" t="n">
        <x:v>910.59</x:v>
      </x:c>
      <x:c r="J75" s="32" t="n">
        <x:v>1302.65</x:v>
      </x:c>
      <x:c r="K75" t="str">
        <x:v>Fallback dummy; replace by vnstock</x:v>
      </x:c>
    </x:row>
    <x:row r="76">
      <x:c r="A76" s="30" t="n">
        <x:v>45758</x:v>
      </x:c>
      <x:c r="B76" s="32" t="n">
        <x:v>1281.19</x:v>
      </x:c>
      <x:c r="C76" s="34" t="n">
        <x:f>IFERROR(B76/B75-1,0)</x:f>
        <x:v>0.013030655249029355</x:v>
      </x:c>
      <x:c r="D76" s="34" t="n">
        <x:f>IFERROR(STDEV.S(C57:C76)*SQRT(252),0)</x:f>
        <x:v>0.18866005995723203</x:v>
      </x:c>
      <x:c r="E76" s="34" t="n">
        <x:f>IFERROR(B76/MAX($B$4:B76)-1,0)</x:f>
        <x:v>-0.005673263484672009</x:v>
      </x:c>
      <x:c r="F76" s="32" t="n">
        <x:v>27531</x:v>
      </x:c>
      <x:c r="G76" s="32" t="n">
        <x:v>-1684</x:v>
      </x:c>
      <x:c r="H76" s="32" t="n">
        <x:v>371.55</x:v>
      </x:c>
      <x:c r="I76" s="32" t="n">
        <x:v>922.46</x:v>
      </x:c>
      <x:c r="J76" s="32" t="n">
        <x:v>1319.63</x:v>
      </x:c>
      <x:c r="K76" t="str">
        <x:v>Fallback dummy; replace by vnstock</x:v>
      </x:c>
    </x:row>
    <x:row r="77">
      <x:c r="A77" s="30" t="n">
        <x:v>45761</x:v>
      </x:c>
      <x:c r="B77" s="32" t="n">
        <x:v>1288.49</x:v>
      </x:c>
      <x:c r="C77" s="34" t="n">
        <x:f>IFERROR(B77/B76-1,0)</x:f>
        <x:v>0.005697827800716482</x:v>
      </x:c>
      <x:c r="D77" s="34" t="n">
        <x:f>IFERROR(STDEV.S(C58:C77)*SQRT(252),0)</x:f>
        <x:v>0.17824728955174993</x:v>
      </x:c>
      <x:c r="E77" s="34" t="n">
        <x:f>IFERROR(B77/MAX($B$4:B77)-1,0)</x:f>
        <x:v>-0.000007760962359326662</x:v>
      </x:c>
      <x:c r="F77" s="32" t="n">
        <x:v>15135</x:v>
      </x:c>
      <x:c r="G77" s="32" t="n">
        <x:v>-1623</x:v>
      </x:c>
      <x:c r="H77" s="32" t="n">
        <x:v>373.66</x:v>
      </x:c>
      <x:c r="I77" s="32" t="n">
        <x:v>927.71</x:v>
      </x:c>
      <x:c r="J77" s="32" t="n">
        <x:v>1327.15</x:v>
      </x:c>
      <x:c r="K77" t="str">
        <x:v>Fallback dummy; replace by vnstock</x:v>
      </x:c>
    </x:row>
    <x:row r="78">
      <x:c r="A78" s="30" t="n">
        <x:v>45762</x:v>
      </x:c>
      <x:c r="B78" s="32" t="n">
        <x:v>1292.06</x:v>
      </x:c>
      <x:c r="C78" s="34" t="n">
        <x:f>IFERROR(B78/B77-1,0)</x:f>
        <x:v>0.0027706850654640736</x:v>
      </x:c>
      <x:c r="D78" s="34" t="n">
        <x:f>IFERROR(STDEV.S(C59:C78)*SQRT(252),0)</x:f>
        <x:v>0.1778573818963046</x:v>
      </x:c>
      <x:c r="E78" s="34" t="n">
        <x:f>IFERROR(B78/MAX($B$4:B78)-1,0)</x:f>
        <x:v>0</x:v>
      </x:c>
      <x:c r="F78" s="32" t="n">
        <x:v>21440</x:v>
      </x:c>
      <x:c r="G78" s="32" t="n">
        <x:v>-274</x:v>
      </x:c>
      <x:c r="H78" s="32" t="n">
        <x:v>374.7</x:v>
      </x:c>
      <x:c r="I78" s="32" t="n">
        <x:v>930.29</x:v>
      </x:c>
      <x:c r="J78" s="32" t="n">
        <x:v>1330.83</x:v>
      </x:c>
      <x:c r="K78" t="str">
        <x:v>Fallback dummy; replace by vnstock</x:v>
      </x:c>
    </x:row>
    <x:row r="79">
      <x:c r="A79" s="30" t="n">
        <x:v>45763</x:v>
      </x:c>
      <x:c r="B79" s="32" t="n">
        <x:v>1285.17</x:v>
      </x:c>
      <x:c r="C79" s="34" t="n">
        <x:f>IFERROR(B79/B78-1,0)</x:f>
        <x:v>-0.005332569694905698</x:v>
      </x:c>
      <x:c r="D79" s="34" t="n">
        <x:f>IFERROR(STDEV.S(C60:C79)*SQRT(252),0)</x:f>
        <x:v>0.17889794961108743</x:v>
      </x:c>
      <x:c r="E79" s="34" t="n">
        <x:f>IFERROR(B79/MAX($B$4:B79)-1,0)</x:f>
        <x:v>-0.005332569694905698</x:v>
      </x:c>
      <x:c r="F79" s="32" t="n">
        <x:v>25337</x:v>
      </x:c>
      <x:c r="G79" s="32" t="n">
        <x:v>-1632</x:v>
      </x:c>
      <x:c r="H79" s="32" t="n">
        <x:v>372.7</x:v>
      </x:c>
      <x:c r="I79" s="32" t="n">
        <x:v>925.32</x:v>
      </x:c>
      <x:c r="J79" s="32" t="n">
        <x:v>1323.73</x:v>
      </x:c>
      <x:c r="K79" t="str">
        <x:v>Fallback dummy; replace by vnstock</x:v>
      </x:c>
    </x:row>
    <x:row r="80">
      <x:c r="A80" s="30" t="n">
        <x:v>45764</x:v>
      </x:c>
      <x:c r="B80" s="32" t="n">
        <x:v>1295.5</x:v>
      </x:c>
      <x:c r="C80" s="34" t="n">
        <x:f>IFERROR(B80/B79-1,0)</x:f>
        <x:v>0.008037847133063991</x:v>
      </x:c>
      <x:c r="D80" s="34" t="n">
        <x:f>IFERROR(STDEV.S(C61:C80)*SQRT(252),0)</x:f>
        <x:v>0.1805442329540699</x:v>
      </x:c>
      <x:c r="E80" s="34" t="n">
        <x:f>IFERROR(B80/MAX($B$4:B80)-1,0)</x:f>
        <x:v>0</x:v>
      </x:c>
      <x:c r="F80" s="32" t="n">
        <x:v>20031</x:v>
      </x:c>
      <x:c r="G80" s="32" t="n">
        <x:v>-591</x:v>
      </x:c>
      <x:c r="H80" s="32" t="n">
        <x:v>375.69</x:v>
      </x:c>
      <x:c r="I80" s="32" t="n">
        <x:v>932.76</x:v>
      </x:c>
      <x:c r="J80" s="32" t="n">
        <x:v>1334.36</x:v>
      </x:c>
      <x:c r="K80" t="str">
        <x:v>Fallback dummy; replace by vnstock</x:v>
      </x:c>
    </x:row>
    <x:row r="81">
      <x:c r="A81" s="30" t="n">
        <x:v>45765</x:v>
      </x:c>
      <x:c r="B81" s="32" t="n">
        <x:v>1292.7</x:v>
      </x:c>
      <x:c r="C81" s="34" t="n">
        <x:f>IFERROR(B81/B80-1,0)</x:f>
        <x:v>-0.0021613276727131536</x:v>
      </x:c>
      <x:c r="D81" s="34" t="n">
        <x:f>IFERROR(STDEV.S(C62:C81)*SQRT(252),0)</x:f>
        <x:v>0.17784711334889614</x:v>
      </x:c>
      <x:c r="E81" s="34" t="n">
        <x:f>IFERROR(B81/MAX($B$4:B81)-1,0)</x:f>
        <x:v>-0.0021613276727131536</x:v>
      </x:c>
      <x:c r="F81" s="32" t="n">
        <x:v>22950</x:v>
      </x:c>
      <x:c r="G81" s="32" t="n">
        <x:v>-854</x:v>
      </x:c>
      <x:c r="H81" s="32" t="n">
        <x:v>374.88</x:v>
      </x:c>
      <x:c r="I81" s="32" t="n">
        <x:v>930.75</x:v>
      </x:c>
      <x:c r="J81" s="32" t="n">
        <x:v>1331.48</x:v>
      </x:c>
      <x:c r="K81" t="str">
        <x:v>Fallback dummy; replace by vnstock</x:v>
      </x:c>
    </x:row>
    <x:row r="82">
      <x:c r="A82" s="30" t="n">
        <x:v>45768</x:v>
      </x:c>
      <x:c r="B82" s="32" t="n">
        <x:v>1305.06</x:v>
      </x:c>
      <x:c r="C82" s="34" t="n">
        <x:f>IFERROR(B82/B81-1,0)</x:f>
        <x:v>0.009561383151543312</x:v>
      </x:c>
      <x:c r="D82" s="34" t="n">
        <x:f>IFERROR(STDEV.S(C63:C82)*SQRT(252),0)</x:f>
        <x:v>0.18000272923208252</x:v>
      </x:c>
      <x:c r="E82" s="34" t="n">
        <x:f>IFERROR(B82/MAX($B$4:B82)-1,0)</x:f>
        <x:v>0</x:v>
      </x:c>
      <x:c r="F82" s="32" t="n">
        <x:v>15150</x:v>
      </x:c>
      <x:c r="G82" s="32" t="n">
        <x:v>-300</x:v>
      </x:c>
      <x:c r="H82" s="32" t="n">
        <x:v>378.47</x:v>
      </x:c>
      <x:c r="I82" s="32" t="n">
        <x:v>939.64</x:v>
      </x:c>
      <x:c r="J82" s="32" t="n">
        <x:v>1344.21</x:v>
      </x:c>
      <x:c r="K82" t="str">
        <x:v>Fallback dummy; replace by vnstock</x:v>
      </x:c>
    </x:row>
    <x:row r="83">
      <x:c r="A83" s="30" t="n">
        <x:v>45769</x:v>
      </x:c>
      <x:c r="B83" s="32" t="n">
        <x:v>1309.94</x:v>
      </x:c>
      <x:c r="C83" s="34" t="n">
        <x:f>IFERROR(B83/B82-1,0)</x:f>
        <x:v>0.003739291680076029</x:v>
      </x:c>
      <x:c r="D83" s="34" t="n">
        <x:f>IFERROR(STDEV.S(C64:C83)*SQRT(252),0)</x:f>
        <x:v>0.17835095940157802</x:v>
      </x:c>
      <x:c r="E83" s="34" t="n">
        <x:f>IFERROR(B83/MAX($B$4:B83)-1,0)</x:f>
        <x:v>0</x:v>
      </x:c>
      <x:c r="F83" s="32" t="n">
        <x:v>27410</x:v>
      </x:c>
      <x:c r="G83" s="32" t="n">
        <x:v>783</x:v>
      </x:c>
      <x:c r="H83" s="32" t="n">
        <x:v>379.88</x:v>
      </x:c>
      <x:c r="I83" s="32" t="n">
        <x:v>943.16</x:v>
      </x:c>
      <x:c r="J83" s="32" t="n">
        <x:v>1349.24</x:v>
      </x:c>
      <x:c r="K83" t="str">
        <x:v>Fallback dummy; replace by vnstock</x:v>
      </x:c>
    </x:row>
    <x:row r="84">
      <x:c r="A84" s="30" t="n">
        <x:v>45770</x:v>
      </x:c>
      <x:c r="B84" s="32" t="n">
        <x:v>1315.11</x:v>
      </x:c>
      <x:c r="C84" s="34" t="n">
        <x:f>IFERROR(B84/B83-1,0)</x:f>
        <x:v>0.003946745652472439</x:v>
      </x:c>
      <x:c r="D84" s="34" t="n">
        <x:f>IFERROR(STDEV.S(C65:C84)*SQRT(252),0)</x:f>
        <x:v>0.17833022322399888</x:v>
      </x:c>
      <x:c r="E84" s="34" t="n">
        <x:f>IFERROR(B84/MAX($B$4:B84)-1,0)</x:f>
        <x:v>0</x:v>
      </x:c>
      <x:c r="F84" s="32" t="n">
        <x:v>26211</x:v>
      </x:c>
      <x:c r="G84" s="32" t="n">
        <x:v>-394</x:v>
      </x:c>
      <x:c r="H84" s="32" t="n">
        <x:v>381.38</x:v>
      </x:c>
      <x:c r="I84" s="32" t="n">
        <x:v>946.88</x:v>
      </x:c>
      <x:c r="J84" s="32" t="n">
        <x:v>1354.57</x:v>
      </x:c>
      <x:c r="K84" t="str">
        <x:v>Fallback dummy; replace by vnstock</x:v>
      </x:c>
    </x:row>
    <x:row r="85">
      <x:c r="A85" s="30" t="n">
        <x:v>45771</x:v>
      </x:c>
      <x:c r="B85" s="32" t="n">
        <x:v>1318.07</x:v>
      </x:c>
      <x:c r="C85" s="34" t="n">
        <x:f>IFERROR(B85/B84-1,0)</x:f>
        <x:v>0.0022507622936485117</x:v>
      </x:c>
      <x:c r="D85" s="34" t="n">
        <x:f>IFERROR(STDEV.S(C66:C85)*SQRT(252),0)</x:f>
        <x:v>0.17419751145597567</x:v>
      </x:c>
      <x:c r="E85" s="34" t="n">
        <x:f>IFERROR(B85/MAX($B$4:B85)-1,0)</x:f>
        <x:v>0</x:v>
      </x:c>
      <x:c r="F85" s="32" t="n">
        <x:v>20349</x:v>
      </x:c>
      <x:c r="G85" s="32" t="n">
        <x:v>-554</x:v>
      </x:c>
      <x:c r="H85" s="32" t="n">
        <x:v>382.24</x:v>
      </x:c>
      <x:c r="I85" s="32" t="n">
        <x:v>949.01</x:v>
      </x:c>
      <x:c r="J85" s="32" t="n">
        <x:v>1357.61</x:v>
      </x:c>
      <x:c r="K85" t="str">
        <x:v>Fallback dummy; replace by vnstock</x:v>
      </x:c>
    </x:row>
    <x:row r="86">
      <x:c r="A86" s="30" t="n">
        <x:v>45772</x:v>
      </x:c>
      <x:c r="B86" s="32" t="n">
        <x:v>1329.35</x:v>
      </x:c>
      <x:c r="C86" s="34" t="n">
        <x:f>IFERROR(B86/B85-1,0)</x:f>
        <x:v>0.008557967331021876</x:v>
      </x:c>
      <x:c r="D86" s="34" t="n">
        <x:f>IFERROR(STDEV.S(C67:C86)*SQRT(252),0)</x:f>
        <x:v>0.16842907435363427</x:v>
      </x:c>
      <x:c r="E86" s="34" t="n">
        <x:f>IFERROR(B86/MAX($B$4:B86)-1,0)</x:f>
        <x:v>0</x:v>
      </x:c>
      <x:c r="F86" s="32" t="n">
        <x:v>27206</x:v>
      </x:c>
      <x:c r="G86" s="32" t="n">
        <x:v>-550</x:v>
      </x:c>
      <x:c r="H86" s="32" t="n">
        <x:v>385.51</x:v>
      </x:c>
      <x:c r="I86" s="32" t="n">
        <x:v>957.13</x:v>
      </x:c>
      <x:c r="J86" s="32" t="n">
        <x:v>1369.23</x:v>
      </x:c>
      <x:c r="K86" t="str">
        <x:v>Fallback dummy; replace by vnstock</x:v>
      </x:c>
    </x:row>
    <x:row r="87">
      <x:c r="A87" s="30" t="n">
        <x:v>45775</x:v>
      </x:c>
      <x:c r="B87" s="32" t="n">
        <x:v>1326.92</x:v>
      </x:c>
      <x:c r="C87" s="34" t="n">
        <x:f>IFERROR(B87/B86-1,0)</x:f>
        <x:v>-0.0018279610335877328</x:v>
      </x:c>
      <x:c r="D87" s="34" t="n">
        <x:f>IFERROR(STDEV.S(C68:C87)*SQRT(252),0)</x:f>
        <x:v>0.11713706709962947</x:v>
      </x:c>
      <x:c r="E87" s="34" t="n">
        <x:f>IFERROR(B87/MAX($B$4:B87)-1,0)</x:f>
        <x:v>-0.0018279610335877328</x:v>
      </x:c>
      <x:c r="F87" s="32" t="n">
        <x:v>24907</x:v>
      </x:c>
      <x:c r="G87" s="32" t="n">
        <x:v>-753</x:v>
      </x:c>
      <x:c r="H87" s="32" t="n">
        <x:v>384.81</x:v>
      </x:c>
      <x:c r="I87" s="32" t="n">
        <x:v>955.38</x:v>
      </x:c>
      <x:c r="J87" s="32" t="n">
        <x:v>1366.72</x:v>
      </x:c>
      <x:c r="K87" t="str">
        <x:v>Fallback dummy; replace by vnstock</x:v>
      </x:c>
    </x:row>
    <x:row r="88">
      <x:c r="A88" s="30" t="n">
        <x:v>45776</x:v>
      </x:c>
      <x:c r="B88" s="32" t="n">
        <x:v>1316.93</x:v>
      </x:c>
      <x:c r="C88" s="34" t="n">
        <x:f>IFERROR(B88/B87-1,0)</x:f>
        <x:v>-0.007528713110059426</x:v>
      </x:c>
      <x:c r="D88" s="34" t="n">
        <x:f>IFERROR(STDEV.S(C69:C88)*SQRT(252),0)</x:f>
        <x:v>0.11707783913870766</x:v>
      </x:c>
      <x:c r="E88" s="34" t="n">
        <x:f>IFERROR(B88/MAX($B$4:B88)-1,0)</x:f>
        <x:v>-0.009342911949448918</x:v>
      </x:c>
      <x:c r="F88" s="32" t="n">
        <x:v>18770</x:v>
      </x:c>
      <x:c r="G88" s="32" t="n">
        <x:v>-1759</x:v>
      </x:c>
      <x:c r="H88" s="32" t="n">
        <x:v>381.91</x:v>
      </x:c>
      <x:c r="I88" s="32" t="n">
        <x:v>948.19</x:v>
      </x:c>
      <x:c r="J88" s="32" t="n">
        <x:v>1356.43</x:v>
      </x:c>
      <x:c r="K88" t="str">
        <x:v>Fallback dummy; replace by vnstock</x:v>
      </x:c>
    </x:row>
    <x:row r="89">
      <x:c r="A89" s="30" t="n">
        <x:v>45777</x:v>
      </x:c>
      <x:c r="B89" s="32" t="n">
        <x:v>1325.97</x:v>
      </x:c>
      <x:c r="C89" s="34" t="n">
        <x:f>IFERROR(B89/B88-1,0)</x:f>
        <x:v>0.006864449894831148</x:v>
      </x:c>
      <x:c r="D89" s="34" t="n">
        <x:f>IFERROR(STDEV.S(C70:C89)*SQRT(252),0)</x:f>
        <x:v>0.11527141696503901</x:v>
      </x:c>
      <x:c r="E89" s="34" t="n">
        <x:f>IFERROR(B89/MAX($B$4:B89)-1,0)</x:f>
        <x:v>-0.0025425960055665</x:v>
      </x:c>
      <x:c r="F89" s="32" t="n">
        <x:v>17464</x:v>
      </x:c>
      <x:c r="G89" s="32" t="n">
        <x:v>731</x:v>
      </x:c>
      <x:c r="H89" s="32" t="n">
        <x:v>384.53</x:v>
      </x:c>
      <x:c r="I89" s="32" t="n">
        <x:v>954.7</x:v>
      </x:c>
      <x:c r="J89" s="32" t="n">
        <x:v>1365.75</x:v>
      </x:c>
      <x:c r="K89" t="str">
        <x:v>Fallback dummy; replace by vnstock</x:v>
      </x:c>
    </x:row>
    <x:row r="90">
      <x:c r="A90" s="30" t="n">
        <x:v>45778</x:v>
      </x:c>
      <x:c r="B90" s="32" t="n">
        <x:v>1311.39</x:v>
      </x:c>
      <x:c r="C90" s="34" t="n">
        <x:f>IFERROR(B90/B89-1,0)</x:f>
        <x:v>-0.010995723885155684</x:v>
      </x:c>
      <x:c r="D90" s="34" t="n">
        <x:f>IFERROR(STDEV.S(C71:C90)*SQRT(252),0)</x:f>
        <x:v>0.12588766353239272</x:v>
      </x:c>
      <x:c r="E90" s="34" t="n">
        <x:f>IFERROR(B90/MAX($B$4:B90)-1,0)</x:f>
        <x:v>-0.013510362207093563</x:v>
      </x:c>
      <x:c r="F90" s="32" t="n">
        <x:v>21938</x:v>
      </x:c>
      <x:c r="G90" s="32" t="n">
        <x:v>-102</x:v>
      </x:c>
      <x:c r="H90" s="32" t="n">
        <x:v>380.3</x:v>
      </x:c>
      <x:c r="I90" s="32" t="n">
        <x:v>944.2</x:v>
      </x:c>
      <x:c r="J90" s="32" t="n">
        <x:v>1350.73</x:v>
      </x:c>
      <x:c r="K90" t="str">
        <x:v>Fallback dummy; replace by vnstock</x:v>
      </x:c>
    </x:row>
    <x:row r="91">
      <x:c r="A91" s="30" t="n">
        <x:v>45779</x:v>
      </x:c>
      <x:c r="B91" s="32" t="n">
        <x:v>1298.52</x:v>
      </x:c>
      <x:c r="C91" s="34" t="n">
        <x:f>IFERROR(B91/B90-1,0)</x:f>
        <x:v>-0.009814014137670801</x:v>
      </x:c>
      <x:c r="D91" s="34" t="n">
        <x:f>IFERROR(STDEV.S(C72:C91)*SQRT(252),0)</x:f>
        <x:v>0.12715727927031406</x:v>
      </x:c>
      <x:c r="E91" s="34" t="n">
        <x:f>IFERROR(B91/MAX($B$4:B91)-1,0)</x:f>
        <x:v>-0.023191785459058867</x:v>
      </x:c>
      <x:c r="F91" s="32" t="n">
        <x:v>12161</x:v>
      </x:c>
      <x:c r="G91" s="32" t="n">
        <x:v>-1445</x:v>
      </x:c>
      <x:c r="H91" s="32" t="n">
        <x:v>376.57</x:v>
      </x:c>
      <x:c r="I91" s="32" t="n">
        <x:v>934.93</x:v>
      </x:c>
      <x:c r="J91" s="32" t="n">
        <x:v>1337.47</x:v>
      </x:c>
      <x:c r="K91" t="str">
        <x:v>Fallback dummy; replace by vnstock</x:v>
      </x:c>
    </x:row>
    <x:row r="92">
      <x:c r="A92" s="30" t="n">
        <x:v>45782</x:v>
      </x:c>
      <x:c r="B92" s="32" t="n">
        <x:v>1291</x:v>
      </x:c>
      <x:c r="C92" s="34" t="n">
        <x:f>IFERROR(B92/B91-1,0)</x:f>
        <x:v>-0.005791208452699981</x:v>
      </x:c>
      <x:c r="D92" s="34" t="n">
        <x:f>IFERROR(STDEV.S(C73:C92)*SQRT(252),0)</x:f>
        <x:v>0.1296791607323999</x:v>
      </x:c>
      <x:c r="E92" s="34" t="n">
        <x:f>IFERROR(B92/MAX($B$4:B92)-1,0)</x:f>
        <x:v>-0.02884868544777519</x:v>
      </x:c>
      <x:c r="F92" s="32" t="n">
        <x:v>20285</x:v>
      </x:c>
      <x:c r="G92" s="32" t="n">
        <x:v>-929</x:v>
      </x:c>
      <x:c r="H92" s="32" t="n">
        <x:v>374.39</x:v>
      </x:c>
      <x:c r="I92" s="32" t="n">
        <x:v>929.52</x:v>
      </x:c>
      <x:c r="J92" s="32" t="n">
        <x:v>1329.73</x:v>
      </x:c>
      <x:c r="K92" t="str">
        <x:v>Fallback dummy; replace by vnstock</x:v>
      </x:c>
    </x:row>
    <x:row r="93">
      <x:c r="A93" s="30" t="n">
        <x:v>45783</x:v>
      </x:c>
      <x:c r="B93" s="32" t="n">
        <x:v>1308.75</x:v>
      </x:c>
      <x:c r="C93" s="34" t="n">
        <x:f>IFERROR(B93/B92-1,0)</x:f>
        <x:v>0.013749031758326868</x:v>
      </x:c>
      <x:c r="D93" s="34" t="n">
        <x:f>IFERROR(STDEV.S(C74:C93)*SQRT(252),0)</x:f>
        <x:v>0.13505448653854066</x:v>
      </x:c>
      <x:c r="E93" s="34" t="n">
        <x:f>IFERROR(B93/MAX($B$4:B93)-1,0)</x:f>
        <x:v>-0.01549629518185569</x:v>
      </x:c>
      <x:c r="F93" s="32" t="n">
        <x:v>13624</x:v>
      </x:c>
      <x:c r="G93" s="32" t="n">
        <x:v>-564</x:v>
      </x:c>
      <x:c r="H93" s="32" t="n">
        <x:v>379.54</x:v>
      </x:c>
      <x:c r="I93" s="32" t="n">
        <x:v>942.3</x:v>
      </x:c>
      <x:c r="J93" s="32" t="n">
        <x:v>1348.01</x:v>
      </x:c>
      <x:c r="K93" t="str">
        <x:v>Fallback dummy; replace by vnstock</x:v>
      </x:c>
    </x:row>
    <x:row r="94">
      <x:c r="A94" s="30" t="n">
        <x:v>45784</x:v>
      </x:c>
      <x:c r="B94" s="32" t="n">
        <x:v>1310.11</x:v>
      </x:c>
      <x:c r="C94" s="34" t="n">
        <x:f>IFERROR(B94/B93-1,0)</x:f>
        <x:v>0.001039159503342768</x:v>
      </x:c>
      <x:c r="D94" s="34" t="n">
        <x:f>IFERROR(STDEV.S(C75:C94)*SQRT(252),0)</x:f>
        <x:v>0.11454129123414977</x:v>
      </x:c>
      <x:c r="E94" s="34" t="n">
        <x:f>IFERROR(B94/MAX($B$4:B94)-1,0)</x:f>
        <x:v>-0.014473238800917776</x:v>
      </x:c>
      <x:c r="F94" s="32" t="n">
        <x:v>22827</x:v>
      </x:c>
      <x:c r="G94" s="32" t="n">
        <x:v>834</x:v>
      </x:c>
      <x:c r="H94" s="32" t="n">
        <x:v>379.93</x:v>
      </x:c>
      <x:c r="I94" s="32" t="n">
        <x:v>943.28</x:v>
      </x:c>
      <x:c r="J94" s="32" t="n">
        <x:v>1349.41</x:v>
      </x:c>
      <x:c r="K94" t="str">
        <x:v>Fallback dummy; replace by vnstock</x:v>
      </x:c>
    </x:row>
    <x:row r="95">
      <x:c r="A95" s="30" t="n">
        <x:v>45785</x:v>
      </x:c>
      <x:c r="B95" s="32" t="n">
        <x:v>1311.01</x:v>
      </x:c>
      <x:c r="C95" s="34" t="n">
        <x:f>IFERROR(B95/B94-1,0)</x:f>
        <x:v>0.0006869652166612283</x:v>
      </x:c>
      <x:c r="D95" s="34" t="n">
        <x:f>IFERROR(STDEV.S(C76:C95)*SQRT(252),0)</x:f>
        <x:v>0.11452393464227971</x:v>
      </x:c>
      <x:c r="E95" s="34" t="n">
        <x:f>IFERROR(B95/MAX($B$4:B95)-1,0)</x:f>
        <x:v>-0.013796216195885114</x:v>
      </x:c>
      <x:c r="F95" s="32" t="n">
        <x:v>27696</x:v>
      </x:c>
      <x:c r="G95" s="32" t="n">
        <x:v>411</x:v>
      </x:c>
      <x:c r="H95" s="32" t="n">
        <x:v>380.19</x:v>
      </x:c>
      <x:c r="I95" s="32" t="n">
        <x:v>943.93</x:v>
      </x:c>
      <x:c r="J95" s="32" t="n">
        <x:v>1350.34</x:v>
      </x:c>
      <x:c r="K95" t="str">
        <x:v>Fallback dummy; replace by vnstock</x:v>
      </x:c>
    </x:row>
    <x:row r="96">
      <x:c r="A96" s="30" t="n">
        <x:v>45786</x:v>
      </x:c>
      <x:c r="B96" s="32" t="n">
        <x:v>1281.42</x:v>
      </x:c>
      <x:c r="C96" s="34" t="n">
        <x:f>IFERROR(B96/B95-1,0)</x:f>
        <x:v>-0.02257038466525807</x:v>
      </x:c>
      <x:c r="D96" s="34" t="n">
        <x:f>IFERROR(STDEV.S(C77:C96)*SQRT(252),0)</x:f>
        <x:v>0.1360231347305901</x:v>
      </x:c>
      <x:c r="E96" s="34" t="n">
        <x:f>IFERROR(B96/MAX($B$4:B96)-1,0)</x:f>
        <x:v>-0.036055214954677006</x:v>
      </x:c>
      <x:c r="F96" s="32" t="n">
        <x:v>12220</x:v>
      </x:c>
      <x:c r="G96" s="32" t="n">
        <x:v>-351</x:v>
      </x:c>
      <x:c r="H96" s="32" t="n">
        <x:v>371.61</x:v>
      </x:c>
      <x:c r="I96" s="32" t="n">
        <x:v>922.62</x:v>
      </x:c>
      <x:c r="J96" s="32" t="n">
        <x:v>1319.87</x:v>
      </x:c>
      <x:c r="K96" t="str">
        <x:v>Fallback dummy; replace by vnstock</x:v>
      </x:c>
    </x:row>
    <x:row r="97">
      <x:c r="A97" s="30" t="n">
        <x:v>45789</x:v>
      </x:c>
      <x:c r="B97" s="32" t="n">
        <x:v>1299.04</x:v>
      </x:c>
      <x:c r="C97" s="34" t="n">
        <x:f>IFERROR(B97/B96-1,0)</x:f>
        <x:v>0.013750370682523938</x:v>
      </x:c>
      <x:c r="D97" s="34" t="n">
        <x:f>IFERROR(STDEV.S(C78:C97)*SQRT(252),0)</x:f>
        <x:v>0.14327246850776398</x:v>
      </x:c>
      <x:c r="E97" s="34" t="n">
        <x:f>IFERROR(B97/MAX($B$4:B97)-1,0)</x:f>
        <x:v>-0.022800616842817867</x:v>
      </x:c>
      <x:c r="F97" s="32" t="n">
        <x:v>13781</x:v>
      </x:c>
      <x:c r="G97" s="32" t="n">
        <x:v>-1303</x:v>
      </x:c>
      <x:c r="H97" s="32" t="n">
        <x:v>376.72</x:v>
      </x:c>
      <x:c r="I97" s="32" t="n">
        <x:v>935.31</x:v>
      </x:c>
      <x:c r="J97" s="32" t="n">
        <x:v>1338.01</x:v>
      </x:c>
      <x:c r="K97" t="str">
        <x:v>Fallback dummy; replace by vnstock</x:v>
      </x:c>
    </x:row>
    <x:row r="98">
      <x:c r="A98" s="30" t="n">
        <x:v>45790</x:v>
      </x:c>
      <x:c r="B98" s="32" t="n">
        <x:v>1286.91</x:v>
      </x:c>
      <x:c r="C98" s="34" t="n">
        <x:f>IFERROR(B98/B97-1,0)</x:f>
        <x:v>-0.009337664737036455</x:v>
      </x:c>
      <x:c r="D98" s="34" t="n">
        <x:f>IFERROR(STDEV.S(C79:C98)*SQRT(252),0)</x:f>
        <x:v>0.147064110545898</x:v>
      </x:c>
      <x:c r="E98" s="34" t="n">
        <x:f>IFERROR(B98/MAX($B$4:B98)-1,0)</x:f>
        <x:v>-0.031925377063978466</x:v>
      </x:c>
      <x:c r="F98" s="32" t="n">
        <x:v>24770</x:v>
      </x:c>
      <x:c r="G98" s="32" t="n">
        <x:v>223</x:v>
      </x:c>
      <x:c r="H98" s="32" t="n">
        <x:v>373.2</x:v>
      </x:c>
      <x:c r="I98" s="32" t="n">
        <x:v>926.57</x:v>
      </x:c>
      <x:c r="J98" s="32" t="n">
        <x:v>1325.51</x:v>
      </x:c>
      <x:c r="K98" t="str">
        <x:v>Fallback dummy; replace by vnstock</x:v>
      </x:c>
    </x:row>
    <x:row r="99">
      <x:c r="A99" s="30" t="n">
        <x:v>45791</x:v>
      </x:c>
      <x:c r="B99" s="32" t="n">
        <x:v>1275.5</x:v>
      </x:c>
      <x:c r="C99" s="34" t="n">
        <x:f>IFERROR(B99/B98-1,0)</x:f>
        <x:v>-0.008866198879486586</x:v>
      </x:c>
      <x:c r="D99" s="34" t="n">
        <x:f>IFERROR(STDEV.S(C80:C99)*SQRT(252),0)</x:f>
        <x:v>0.14923184591968736</x:v>
      </x:c>
      <x:c r="E99" s="34" t="n">
        <x:f>IFERROR(B99/MAX($B$4:B99)-1,0)</x:f>
        <x:v>-0.04050851920111331</x:v>
      </x:c>
      <x:c r="F99" s="32" t="n">
        <x:v>14743</x:v>
      </x:c>
      <x:c r="G99" s="32" t="n">
        <x:v>46</x:v>
      </x:c>
      <x:c r="H99" s="32" t="n">
        <x:v>369.9</x:v>
      </x:c>
      <x:c r="I99" s="32" t="n">
        <x:v>918.36</x:v>
      </x:c>
      <x:c r="J99" s="32" t="n">
        <x:v>1313.77</x:v>
      </x:c>
      <x:c r="K99" t="str">
        <x:v>Fallback dummy; replace by vnstock</x:v>
      </x:c>
    </x:row>
    <x:row r="100">
      <x:c r="A100" s="30" t="n">
        <x:v>45792</x:v>
      </x:c>
      <x:c r="B100" s="32" t="n">
        <x:v>1273.06</x:v>
      </x:c>
      <x:c r="C100" s="34" t="n">
        <x:f>IFERROR(B100/B99-1,0)</x:f>
        <x:v>-0.0019129753038025221</x:v>
      </x:c>
      <x:c r="D100" s="34" t="n">
        <x:f>IFERROR(STDEV.S(C81:C100)*SQRT(252),0)</x:f>
        <x:v>0.1459711421903365</x:v>
      </x:c>
      <x:c r="E100" s="34" t="n">
        <x:f>IFERROR(B100/MAX($B$4:B100)-1,0)</x:f>
        <x:v>-0.042344002708090356</x:v>
      </x:c>
      <x:c r="F100" s="32" t="n">
        <x:v>24057</x:v>
      </x:c>
      <x:c r="G100" s="32" t="n">
        <x:v>-496</x:v>
      </x:c>
      <x:c r="H100" s="32" t="n">
        <x:v>369.19</x:v>
      </x:c>
      <x:c r="I100" s="32" t="n">
        <x:v>916.6</x:v>
      </x:c>
      <x:c r="J100" s="32" t="n">
        <x:v>1311.25</x:v>
      </x:c>
      <x:c r="K100" t="str">
        <x:v>Fallback dummy; replace by vnstock</x:v>
      </x:c>
    </x:row>
    <x:row r="101">
      <x:c r="A101" s="30" t="n">
        <x:v>45793</x:v>
      </x:c>
      <x:c r="B101" s="32" t="n">
        <x:v>1273.9</x:v>
      </x:c>
      <x:c r="C101" s="34" t="n">
        <x:f>IFERROR(B101/B100-1,0)</x:f>
        <x:v>0.0006598275022389188</x:v>
      </x:c>
      <x:c r="D101" s="34" t="n">
        <x:f>IFERROR(STDEV.S(C82:C101)*SQRT(252),0)</x:f>
        <x:v>0.14597414723716365</x:v>
      </x:c>
      <x:c r="E101" s="34" t="n">
        <x:f>IFERROR(B101/MAX($B$4:B101)-1,0)</x:f>
        <x:v>-0.04171211494339322</x:v>
      </x:c>
      <x:c r="F101" s="32" t="n">
        <x:v>24886</x:v>
      </x:c>
      <x:c r="G101" s="32" t="n">
        <x:v>1059</x:v>
      </x:c>
      <x:c r="H101" s="32" t="n">
        <x:v>369.43</x:v>
      </x:c>
      <x:c r="I101" s="32" t="n">
        <x:v>917.21</x:v>
      </x:c>
      <x:c r="J101" s="32" t="n">
        <x:v>1312.12</x:v>
      </x:c>
      <x:c r="K101" t="str">
        <x:v>Fallback dummy; replace by vnstock</x:v>
      </x:c>
    </x:row>
    <x:row r="102">
      <x:c r="A102" s="30" t="n">
        <x:v>45796</x:v>
      </x:c>
      <x:c r="B102" s="32" t="n">
        <x:v>1274.52</x:v>
      </x:c>
      <x:c r="C102" s="34" t="n">
        <x:f>IFERROR(B102/B101-1,0)</x:f>
        <x:v>0.0004866944030141873</x:v>
      </x:c>
      <x:c r="D102" s="34" t="n">
        <x:f>IFERROR(STDEV.S(C83:C102)*SQRT(252),0)</x:f>
        <x:v>0.1409890074731762</x:v>
      </x:c>
      <x:c r="E102" s="34" t="n">
        <x:f>IFERROR(B102/MAX($B$4:B102)-1,0)</x:f>
        <x:v>-0.04124572159325979</x:v>
      </x:c>
      <x:c r="F102" s="32" t="n">
        <x:v>23475</x:v>
      </x:c>
      <x:c r="G102" s="32" t="n">
        <x:v>-57</x:v>
      </x:c>
      <x:c r="H102" s="32" t="n">
        <x:v>369.61</x:v>
      </x:c>
      <x:c r="I102" s="32" t="n">
        <x:v>917.66</x:v>
      </x:c>
      <x:c r="J102" s="32" t="n">
        <x:v>1312.76</x:v>
      </x:c>
      <x:c r="K102" t="str">
        <x:v>Fallback dummy; replace by vnstock</x:v>
      </x:c>
    </x:row>
    <x:row r="103">
      <x:c r="A103" s="30" t="n">
        <x:v>45797</x:v>
      </x:c>
      <x:c r="B103" s="32" t="n">
        <x:v>1279.3</x:v>
      </x:c>
      <x:c r="C103" s="34" t="n">
        <x:f>IFERROR(B103/B102-1,0)</x:f>
        <x:v>0.003750431535009202</x:v>
      </x:c>
      <x:c r="D103" s="34" t="n">
        <x:f>IFERROR(STDEV.S(C84:C103)*SQRT(252),0)</x:f>
        <x:v>0.14099413213791787</x:v>
      </x:c>
      <x:c r="E103" s="34" t="n">
        <x:f>IFERROR(B103/MAX($B$4:B103)-1,0)</x:f>
        <x:v>-0.037649979313198134</x:v>
      </x:c>
      <x:c r="F103" s="32" t="n">
        <x:v>24435</x:v>
      </x:c>
      <x:c r="G103" s="32" t="n">
        <x:v>351</x:v>
      </x:c>
      <x:c r="H103" s="32" t="n">
        <x:v>371</x:v>
      </x:c>
      <x:c r="I103" s="32" t="n">
        <x:v>921.1</x:v>
      </x:c>
      <x:c r="J103" s="32" t="n">
        <x:v>1317.68</x:v>
      </x:c>
      <x:c r="K103" t="str">
        <x:v>Fallback dummy; replace by vnstock</x:v>
      </x:c>
    </x:row>
    <x:row r="104">
      <x:c r="A104" s="30" t="n">
        <x:v>45798</x:v>
      </x:c>
      <x:c r="B104" s="32" t="n">
        <x:v>1269.78</x:v>
      </x:c>
      <x:c r="C104" s="34" t="n">
        <x:f>IFERROR(B104/B103-1,0)</x:f>
        <x:v>-0.007441569608379606</x:v>
      </x:c>
      <x:c r="D104" s="34" t="n">
        <x:f>IFERROR(STDEV.S(C85:C104)*SQRT(252),0)</x:f>
        <x:v>0.14133394394633422</x:v>
      </x:c>
      <x:c r="E104" s="34" t="n">
        <x:f>IFERROR(B104/MAX($B$4:B104)-1,0)</x:f>
        <x:v>-0.044811373979764535</x:v>
      </x:c>
      <x:c r="F104" s="32" t="n">
        <x:v>12737</x:v>
      </x:c>
      <x:c r="G104" s="32" t="n">
        <x:v>264</x:v>
      </x:c>
      <x:c r="H104" s="32" t="n">
        <x:v>368.24</x:v>
      </x:c>
      <x:c r="I104" s="32" t="n">
        <x:v>914.24</x:v>
      </x:c>
      <x:c r="J104" s="32" t="n">
        <x:v>1307.88</x:v>
      </x:c>
      <x:c r="K104" t="str">
        <x:v>Fallback dummy; replace by vnstock</x:v>
      </x:c>
    </x:row>
    <x:row r="105">
      <x:c r="A105" s="30" t="n">
        <x:v>45799</x:v>
      </x:c>
      <x:c r="B105" s="32" t="n">
        <x:v>1277.66</x:v>
      </x:c>
      <x:c r="C105" s="34" t="n">
        <x:f>IFERROR(B105/B104-1,0)</x:f>
        <x:v>0.006205799429822578</x:v>
      </x:c>
      <x:c r="D105" s="34" t="n">
        <x:f>IFERROR(STDEV.S(C86:C105)*SQRT(252),0)</x:f>
        <x:v>0.1434865384471261</x:v>
      </x:c>
      <x:c r="E105" s="34" t="n">
        <x:f>IFERROR(B105/MAX($B$4:B105)-1,0)</x:f>
        <x:v>-0.03888366494903517</x:v>
      </x:c>
      <x:c r="F105" s="32" t="n">
        <x:v>21945</x:v>
      </x:c>
      <x:c r="G105" s="32" t="n">
        <x:v>-1222</x:v>
      </x:c>
      <x:c r="H105" s="32" t="n">
        <x:v>370.52</x:v>
      </x:c>
      <x:c r="I105" s="32" t="n">
        <x:v>919.91</x:v>
      </x:c>
      <x:c r="J105" s="32" t="n">
        <x:v>1315.99</x:v>
      </x:c>
      <x:c r="K105" t="str">
        <x:v>Fallback dummy; replace by vnstock</x:v>
      </x:c>
    </x:row>
    <x:row r="106">
      <x:c r="A106" s="30" t="n">
        <x:v>45800</x:v>
      </x:c>
      <x:c r="B106" s="32" t="n">
        <x:v>1270.46</x:v>
      </x:c>
      <x:c r="C106" s="34" t="n">
        <x:f>IFERROR(B106/B105-1,0)</x:f>
        <x:v>-0.0056353020365356166</x:v>
      </x:c>
      <x:c r="D106" s="34" t="n">
        <x:f>IFERROR(STDEV.S(C87:C106)*SQRT(252),0)</x:f>
        <x:v>0.1390451262796842</x:v>
      </x:c>
      <x:c r="E106" s="34" t="n">
        <x:f>IFERROR(B106/MAX($B$4:B106)-1,0)</x:f>
        <x:v>-0.04429984578929547</x:v>
      </x:c>
      <x:c r="F106" s="32" t="n">
        <x:v>12775</x:v>
      </x:c>
      <x:c r="G106" s="32" t="n">
        <x:v>-1612</x:v>
      </x:c>
      <x:c r="H106" s="32" t="n">
        <x:v>368.43</x:v>
      </x:c>
      <x:c r="I106" s="32" t="n">
        <x:v>914.73</x:v>
      </x:c>
      <x:c r="J106" s="32" t="n">
        <x:v>1308.57</x:v>
      </x:c>
      <x:c r="K106" t="str">
        <x:v>Fallback dummy; replace by vnstock</x:v>
      </x:c>
    </x:row>
    <x:row r="107">
      <x:c r="A107" s="30" t="n">
        <x:v>45803</x:v>
      </x:c>
      <x:c r="B107" s="32" t="n">
        <x:v>1279.2</x:v>
      </x:c>
      <x:c r="C107" s="34" t="n">
        <x:f>IFERROR(B107/B106-1,0)</x:f>
        <x:v>0.006879398013317939</x:v>
      </x:c>
      <x:c r="D107" s="34" t="n">
        <x:f>IFERROR(STDEV.S(C88:C107)*SQRT(252),0)</x:f>
        <x:v>0.14276167452078076</x:v>
      </x:c>
      <x:c r="E107" s="34" t="n">
        <x:f>IFERROR(B107/MAX($B$4:B107)-1,0)</x:f>
        <x:v>-0.037725204047090566</x:v>
      </x:c>
      <x:c r="F107" s="32" t="n">
        <x:v>22363</x:v>
      </x:c>
      <x:c r="G107" s="32" t="n">
        <x:v>675</x:v>
      </x:c>
      <x:c r="H107" s="32" t="n">
        <x:v>370.97</x:v>
      </x:c>
      <x:c r="I107" s="32" t="n">
        <x:v>921.02</x:v>
      </x:c>
      <x:c r="J107" s="32" t="n">
        <x:v>1317.58</x:v>
      </x:c>
      <x:c r="K107" t="str">
        <x:v>Fallback dummy; replace by vnstock</x:v>
      </x:c>
    </x:row>
    <x:row r="108">
      <x:c r="A108" s="30" t="n">
        <x:v>45804</x:v>
      </x:c>
      <x:c r="B108" s="32" t="n">
        <x:v>1265.5</x:v>
      </x:c>
      <x:c r="C108" s="34" t="n">
        <x:f>IFERROR(B108/B107-1,0)</x:f>
        <x:v>-0.010709818636647994</x:v>
      </x:c>
      <x:c r="D108" s="34" t="n">
        <x:f>IFERROR(STDEV.S(C89:C108)*SQRT(252),0)</x:f>
        <x:v>0.14488809197850278</x:v>
      </x:c>
      <x:c r="E108" s="34" t="n">
        <x:f>IFERROR(B108/MAX($B$4:B108)-1,0)</x:f>
        <x:v>-0.0480309925903637</x:v>
      </x:c>
      <x:c r="F108" s="32" t="n">
        <x:v>22251</x:v>
      </x:c>
      <x:c r="G108" s="32" t="n">
        <x:v>36</x:v>
      </x:c>
      <x:c r="H108" s="32" t="n">
        <x:v>366.99</x:v>
      </x:c>
      <x:c r="I108" s="32" t="n">
        <x:v>911.16</x:v>
      </x:c>
      <x:c r="J108" s="32" t="n">
        <x:v>1303.46</x:v>
      </x:c>
      <x:c r="K108" t="str">
        <x:v>Fallback dummy; replace by vnstock</x:v>
      </x:c>
    </x:row>
    <x:row r="109">
      <x:c r="A109" s="30" t="n">
        <x:v>45805</x:v>
      </x:c>
      <x:c r="B109" s="32" t="n">
        <x:v>1244.82</x:v>
      </x:c>
      <x:c r="C109" s="34" t="n">
        <x:f>IFERROR(B109/B108-1,0)</x:f>
        <x:v>-0.016341367048597455</x:v>
      </x:c>
      <x:c r="D109" s="34" t="n">
        <x:f>IFERROR(STDEV.S(C90:C109)*SQRT(252),0)</x:f>
        <x:v>0.14950530092890982</x:v>
      </x:c>
      <x:c r="E109" s="34" t="n">
        <x:f>IFERROR(B109/MAX($B$4:B109)-1,0)</x:f>
        <x:v>-0.06358746755933353</x:v>
      </x:c>
      <x:c r="F109" s="32" t="n">
        <x:v>20504</x:v>
      </x:c>
      <x:c r="G109" s="32" t="n">
        <x:v>-97</x:v>
      </x:c>
      <x:c r="H109" s="32" t="n">
        <x:v>361</x:v>
      </x:c>
      <x:c r="I109" s="32" t="n">
        <x:v>896.27</x:v>
      </x:c>
      <x:c r="J109" s="32" t="n">
        <x:v>1282.17</x:v>
      </x:c>
      <x:c r="K109" t="str">
        <x:v>Fallback dummy; replace by vnstock</x:v>
      </x:c>
    </x:row>
    <x:row r="110">
      <x:c r="A110" s="30" t="n">
        <x:v>45806</x:v>
      </x:c>
      <x:c r="B110" s="32" t="n">
        <x:v>1242.49</x:v>
      </x:c>
      <x:c r="C110" s="34" t="n">
        <x:f>IFERROR(B110/B109-1,0)</x:f>
        <x:v>-0.001871756559181148</x:v>
      </x:c>
      <x:c r="D110" s="34" t="n">
        <x:f>IFERROR(STDEV.S(C91:C110)*SQRT(252),0)</x:f>
        <x:v>0.14660253641870516</x:v>
      </x:c>
      <x:c r="E110" s="34" t="n">
        <x:f>IFERROR(B110/MAX($B$4:B110)-1,0)</x:f>
        <x:v>-0.06534020385902872</x:v>
      </x:c>
      <x:c r="F110" s="32" t="n">
        <x:v>21816</x:v>
      </x:c>
      <x:c r="G110" s="32" t="n">
        <x:v>568</x:v>
      </x:c>
      <x:c r="H110" s="32" t="n">
        <x:v>360.32</x:v>
      </x:c>
      <x:c r="I110" s="32" t="n">
        <x:v>894.59</x:v>
      </x:c>
      <x:c r="J110" s="32" t="n">
        <x:v>1279.76</x:v>
      </x:c>
      <x:c r="K110" t="str">
        <x:v>Fallback dummy; replace by vnstock</x:v>
      </x:c>
    </x:row>
    <x:row r="111">
      <x:c r="A111" s="30" t="n">
        <x:v>45807</x:v>
      </x:c>
      <x:c r="B111" s="32" t="n">
        <x:v>1262.17</x:v>
      </x:c>
      <x:c r="C111" s="34" t="n">
        <x:f>IFERROR(B111/B110-1,0)</x:f>
        <x:v>0.015839161683393943</x:v>
      </x:c>
      <x:c r="D111" s="34" t="n">
        <x:f>IFERROR(STDEV.S(C92:C111)*SQRT(252),0)</x:f>
        <x:v>0.1578355447901785</x:v>
      </x:c>
      <x:c r="E111" s="34" t="n">
        <x:f>IFERROR(B111/MAX($B$4:B111)-1,0)</x:f>
        <x:v>-0.05053597622898398</x:v>
      </x:c>
      <x:c r="F111" s="32" t="n">
        <x:v>14819</x:v>
      </x:c>
      <x:c r="G111" s="32" t="n">
        <x:v>163</x:v>
      </x:c>
      <x:c r="H111" s="32" t="n">
        <x:v>366.03</x:v>
      </x:c>
      <x:c r="I111" s="32" t="n">
        <x:v>908.76</x:v>
      </x:c>
      <x:c r="J111" s="32" t="n">
        <x:v>1300.03</x:v>
      </x:c>
      <x:c r="K111" t="str">
        <x:v>Fallback dummy; replace by vnstock</x:v>
      </x:c>
    </x:row>
    <x:row r="112">
      <x:c r="A112" s="30" t="n">
        <x:v>45810</x:v>
      </x:c>
      <x:c r="B112" s="32" t="n">
        <x:v>1249.69</x:v>
      </x:c>
      <x:c r="C112" s="34" t="n">
        <x:f>IFERROR(B112/B111-1,0)</x:f>
        <x:v>-0.009887733031208157</x:v>
      </x:c>
      <x:c r="D112" s="34" t="n">
        <x:f>IFERROR(STDEV.S(C93:C112)*SQRT(252),0)</x:f>
        <x:v>0.16001177882814277</x:v>
      </x:c>
      <x:c r="E112" s="34" t="n">
        <x:f>IFERROR(B112/MAX($B$4:B112)-1,0)</x:f>
        <x:v>-0.059924023018768424</x:v>
      </x:c>
      <x:c r="F112" s="32" t="n">
        <x:v>15703</x:v>
      </x:c>
      <x:c r="G112" s="32" t="n">
        <x:v>-1502</x:v>
      </x:c>
      <x:c r="H112" s="32" t="n">
        <x:v>362.41</x:v>
      </x:c>
      <x:c r="I112" s="32" t="n">
        <x:v>899.78</x:v>
      </x:c>
      <x:c r="J112" s="32" t="n">
        <x:v>1287.19</x:v>
      </x:c>
      <x:c r="K112" t="str">
        <x:v>Fallback dummy; replace by vnstock</x:v>
      </x:c>
    </x:row>
    <x:row r="113">
      <x:c r="A113" s="30" t="n">
        <x:v>45811</x:v>
      </x:c>
      <x:c r="B113" s="32" t="n">
        <x:v>1251.39</x:v>
      </x:c>
      <x:c r="C113" s="34" t="n">
        <x:f>IFERROR(B113/B112-1,0)</x:f>
        <x:v>0.001360337363666142</x:v>
      </x:c>
      <x:c r="D113" s="34" t="n">
        <x:f>IFERROR(STDEV.S(C94:C113)*SQRT(252),0)</x:f>
        <x:v>0.15000424516157784</x:v>
      </x:c>
      <x:c r="E113" s="34" t="n">
        <x:f>IFERROR(B113/MAX($B$4:B113)-1,0)</x:f>
        <x:v>-0.058645202542595865</x:v>
      </x:c>
      <x:c r="F113" s="32" t="n">
        <x:v>22975</x:v>
      </x:c>
      <x:c r="G113" s="32" t="n">
        <x:v>-212</x:v>
      </x:c>
      <x:c r="H113" s="32" t="n">
        <x:v>362.9</x:v>
      </x:c>
      <x:c r="I113" s="32" t="n">
        <x:v>901</x:v>
      </x:c>
      <x:c r="J113" s="32" t="n">
        <x:v>1288.93</x:v>
      </x:c>
      <x:c r="K113" t="str">
        <x:v>Fallback dummy; replace by vnstock</x:v>
      </x:c>
    </x:row>
    <x:row r="114">
      <x:c r="A114" s="30" t="n">
        <x:v>45812</x:v>
      </x:c>
      <x:c r="B114" s="32" t="n">
        <x:v>1257.08</x:v>
      </x:c>
      <x:c r="C114" s="34" t="n">
        <x:f>IFERROR(B114/B113-1,0)</x:f>
        <x:v>0.0045469437984959615</x:v>
      </x:c>
      <x:c r="D114" s="34" t="n">
        <x:f>IFERROR(STDEV.S(C95:C114)*SQRT(252),0)</x:f>
        <x:v>0.1515167391631133</x:v>
      </x:c>
      <x:c r="E114" s="34" t="n">
        <x:f>IFERROR(B114/MAX($B$4:B114)-1,0)</x:f>
        <x:v>-0.05436491518411257</x:v>
      </x:c>
      <x:c r="F114" s="32" t="n">
        <x:v>26614</x:v>
      </x:c>
      <x:c r="G114" s="32" t="n">
        <x:v>-1424</x:v>
      </x:c>
      <x:c r="H114" s="32" t="n">
        <x:v>364.55</x:v>
      </x:c>
      <x:c r="I114" s="32" t="n">
        <x:v>905.1</x:v>
      </x:c>
      <x:c r="J114" s="32" t="n">
        <x:v>1294.79</x:v>
      </x:c>
      <x:c r="K114" t="str">
        <x:v>Fallback dummy; replace by vnstock</x:v>
      </x:c>
    </x:row>
    <x:row r="115">
      <x:c r="A115" s="30" t="n">
        <x:v>45813</x:v>
      </x:c>
      <x:c r="B115" s="32" t="n">
        <x:v>1248.39</x:v>
      </x:c>
      <x:c r="C115" s="34" t="n">
        <x:f>IFERROR(B115/B114-1,0)</x:f>
        <x:v>-0.006912845642282006</x:v>
      </x:c>
      <x:c r="D115" s="34" t="n">
        <x:f>IFERROR(STDEV.S(C96:C115)*SQRT(252),0)</x:f>
        <x:v>0.15211595019160493</x:v>
      </x:c>
      <x:c r="E115" s="34" t="n">
        <x:f>IFERROR(B115/MAX($B$4:B115)-1,0)</x:f>
        <x:v>-0.060901944559371035</x:v>
      </x:c>
      <x:c r="F115" s="32" t="n">
        <x:v>14528</x:v>
      </x:c>
      <x:c r="G115" s="32" t="n">
        <x:v>-308</x:v>
      </x:c>
      <x:c r="H115" s="32" t="n">
        <x:v>362.03</x:v>
      </x:c>
      <x:c r="I115" s="32" t="n">
        <x:v>898.84</x:v>
      </x:c>
      <x:c r="J115" s="32" t="n">
        <x:v>1285.84</x:v>
      </x:c>
      <x:c r="K115" t="str">
        <x:v>Fallback dummy; replace by vnstock</x:v>
      </x:c>
    </x:row>
    <x:row r="116">
      <x:c r="A116" s="30" t="n">
        <x:v>45814</x:v>
      </x:c>
      <x:c r="B116" s="32" t="n">
        <x:v>1248.26</x:v>
      </x:c>
      <x:c r="C116" s="34" t="n">
        <x:f>IFERROR(B116/B115-1,0)</x:f>
        <x:v>-0.00010413412475274164</x:v>
      </x:c>
      <x:c r="D116" s="34" t="n">
        <x:f>IFERROR(STDEV.S(C97:C116)*SQRT(252),0)</x:f>
        <x:v>0.13220692559452538</x:v>
      </x:c>
      <x:c r="E116" s="34" t="n">
        <x:f>IFERROR(B116/MAX($B$4:B116)-1,0)</x:f>
        <x:v>-0.060999736713431285</x:v>
      </x:c>
      <x:c r="F116" s="32" t="n">
        <x:v>21645</x:v>
      </x:c>
      <x:c r="G116" s="32" t="n">
        <x:v>600</x:v>
      </x:c>
      <x:c r="H116" s="32" t="n">
        <x:v>361.99</x:v>
      </x:c>
      <x:c r="I116" s="32" t="n">
        <x:v>898.74</x:v>
      </x:c>
      <x:c r="J116" s="32" t="n">
        <x:v>1285.7</x:v>
      </x:c>
      <x:c r="K116" t="str">
        <x:v>Fallback dummy; replace by vnstock</x:v>
      </x:c>
    </x:row>
    <x:row r="117">
      <x:c r="A117" s="30" t="n">
        <x:v>45817</x:v>
      </x:c>
      <x:c r="B117" s="32" t="n">
        <x:v>1231.06</x:v>
      </x:c>
      <x:c r="C117" s="34" t="n">
        <x:f>IFERROR(B117/B116-1,0)</x:f>
        <x:v>-0.013779180619422293</x:v>
      </x:c>
      <x:c r="D117" s="34" t="n">
        <x:f>IFERROR(STDEV.S(C98:C117)*SQRT(252),0)</x:f>
        <x:v>0.12670427118813535</x:v>
      </x:c>
      <x:c r="E117" s="34" t="n">
        <x:f>IFERROR(B117/MAX($B$4:B117)-1,0)</x:f>
        <x:v>-0.07393839094294197</x:v>
      </x:c>
      <x:c r="F117" s="32" t="n">
        <x:v>14620</x:v>
      </x:c>
      <x:c r="G117" s="32" t="n">
        <x:v>368</x:v>
      </x:c>
      <x:c r="H117" s="32" t="n">
        <x:v>357.01</x:v>
      </x:c>
      <x:c r="I117" s="32" t="n">
        <x:v>886.36</x:v>
      </x:c>
      <x:c r="J117" s="32" t="n">
        <x:v>1267.99</x:v>
      </x:c>
      <x:c r="K117" t="str">
        <x:v>Fallback dummy; replace by vnstock</x:v>
      </x:c>
    </x:row>
    <x:row r="118">
      <x:c r="A118" s="30" t="n">
        <x:v>45818</x:v>
      </x:c>
      <x:c r="B118" s="32" t="n">
        <x:v>1219.39</x:v>
      </x:c>
      <x:c r="C118" s="34" t="n">
        <x:f>IFERROR(B118/B117-1,0)</x:f>
        <x:v>-0.009479635436128064</x:v>
      </x:c>
      <x:c r="D118" s="34" t="n">
        <x:f>IFERROR(STDEV.S(C99:C118)*SQRT(252),0)</x:f>
        <x:v>0.12680456705325946</x:v>
      </x:c>
      <x:c r="E118" s="34" t="n">
        <x:f>IFERROR(B118/MAX($B$4:B118)-1,0)</x:f>
        <x:v>-0.08271711738819709</x:v>
      </x:c>
      <x:c r="F118" s="32" t="n">
        <x:v>23075</x:v>
      </x:c>
      <x:c r="G118" s="32" t="n">
        <x:v>-456</x:v>
      </x:c>
      <x:c r="H118" s="32" t="n">
        <x:v>353.62</x:v>
      </x:c>
      <x:c r="I118" s="32" t="n">
        <x:v>877.96</x:v>
      </x:c>
      <x:c r="J118" s="32" t="n">
        <x:v>1255.97</x:v>
      </x:c>
      <x:c r="K118" t="str">
        <x:v>Fallback dummy; replace by vnstock</x:v>
      </x:c>
    </x:row>
    <x:row r="119">
      <x:c r="A119" s="30" t="n">
        <x:v>45819</x:v>
      </x:c>
      <x:c r="B119" s="32" t="n">
        <x:v>1213.03</x:v>
      </x:c>
      <x:c r="C119" s="34" t="n">
        <x:f>IFERROR(B119/B118-1,0)</x:f>
        <x:v>-0.005215722615406149</x:v>
      </x:c>
      <x:c r="D119" s="34" t="n">
        <x:f>IFERROR(STDEV.S(C100:C119)*SQRT(252),0)</x:f>
        <x:v>0.12508558602955888</x:v>
      </x:c>
      <x:c r="E119" s="34" t="n">
        <x:f>IFERROR(B119/MAX($B$4:B119)-1,0)</x:f>
        <x:v>-0.08750141046376048</x:v>
      </x:c>
      <x:c r="F119" s="32" t="n">
        <x:v>24478</x:v>
      </x:c>
      <x:c r="G119" s="32" t="n">
        <x:v>1152</x:v>
      </x:c>
      <x:c r="H119" s="32" t="n">
        <x:v>351.78</x:v>
      </x:c>
      <x:c r="I119" s="32" t="n">
        <x:v>873.38</x:v>
      </x:c>
      <x:c r="J119" s="32" t="n">
        <x:v>1249.42</x:v>
      </x:c>
      <x:c r="K119" t="str">
        <x:v>Fallback dummy; replace by vnstock</x:v>
      </x:c>
    </x:row>
    <x:row r="120">
      <x:c r="A120" s="30" t="n">
        <x:v>45820</x:v>
      </x:c>
      <x:c r="B120" s="32" t="n">
        <x:v>1224.51</x:v>
      </x:c>
      <x:c r="C120" s="34" t="n">
        <x:f>IFERROR(B120/B119-1,0)</x:f>
        <x:v>0.009463904437647885</x:v>
      </x:c>
      <x:c r="D120" s="34" t="n">
        <x:f>IFERROR(STDEV.S(C101:C120)*SQRT(252),0)</x:f>
        <x:v>0.13209024768260033</x:v>
      </x:c>
      <x:c r="E120" s="34" t="n">
        <x:f>IFERROR(B120/MAX($B$4:B120)-1,0)</x:f>
        <x:v>-0.07886561101290102</x:v>
      </x:c>
      <x:c r="F120" s="32" t="n">
        <x:v>27347</x:v>
      </x:c>
      <x:c r="G120" s="32" t="n">
        <x:v>-1434</x:v>
      </x:c>
      <x:c r="H120" s="32" t="n">
        <x:v>355.11</x:v>
      </x:c>
      <x:c r="I120" s="32" t="n">
        <x:v>881.65</x:v>
      </x:c>
      <x:c r="J120" s="32" t="n">
        <x:v>1261.24</x:v>
      </x:c>
      <x:c r="K120" t="str">
        <x:v>Fallback dummy; replace by vnstock</x:v>
      </x:c>
    </x:row>
    <x:row r="121">
      <x:c r="A121" s="30" t="n">
        <x:v>45821</x:v>
      </x:c>
      <x:c r="B121" s="32" t="n">
        <x:v>1231.94</x:v>
      </x:c>
      <x:c r="C121" s="34" t="n">
        <x:f>IFERROR(B121/B120-1,0)</x:f>
        <x:v>0.006067733215735283</x:v>
      </x:c>
      <x:c r="D121" s="34" t="n">
        <x:f>IFERROR(STDEV.S(C102:C121)*SQRT(252),0)</x:f>
        <x:v>0.13485131145270876</x:v>
      </x:c>
      <x:c r="E121" s="34" t="n">
        <x:f>IFERROR(B121/MAX($B$4:B121)-1,0)</x:f>
        <x:v>-0.07327641328468792</x:v>
      </x:c>
      <x:c r="F121" s="32" t="n">
        <x:v>26803</x:v>
      </x:c>
      <x:c r="G121" s="32" t="n">
        <x:v>354</x:v>
      </x:c>
      <x:c r="H121" s="32" t="n">
        <x:v>357.26</x:v>
      </x:c>
      <x:c r="I121" s="32" t="n">
        <x:v>886.99</x:v>
      </x:c>
      <x:c r="J121" s="32" t="n">
        <x:v>1268.89</x:v>
      </x:c>
      <x:c r="K121" t="str">
        <x:v>Fallback dummy; replace by vnstock</x:v>
      </x:c>
    </x:row>
    <x:row r="122">
      <x:c r="A122" s="30" t="n">
        <x:v>45824</x:v>
      </x:c>
      <x:c r="B122" s="32" t="n">
        <x:v>1218.42</x:v>
      </x:c>
      <x:c r="C122" s="34" t="n">
        <x:f>IFERROR(B122/B121-1,0)</x:f>
        <x:v>-0.010974560449372506</x:v>
      </x:c>
      <x:c r="D122" s="34" t="n">
        <x:f>IFERROR(STDEV.S(C103:C122)*SQRT(252),0)</x:f>
        <x:v>0.13854159362366444</x:v>
      </x:c>
      <x:c r="E122" s="34" t="n">
        <x:f>IFERROR(B122/MAX($B$4:B122)-1,0)</x:f>
        <x:v>-0.08344679730695437</x:v>
      </x:c>
      <x:c r="F122" s="32" t="n">
        <x:v>18602</x:v>
      </x:c>
      <x:c r="G122" s="32" t="n">
        <x:v>185</x:v>
      </x:c>
      <x:c r="H122" s="32" t="n">
        <x:v>353.34</x:v>
      </x:c>
      <x:c r="I122" s="32" t="n">
        <x:v>877.26</x:v>
      </x:c>
      <x:c r="J122" s="32" t="n">
        <x:v>1254.97</x:v>
      </x:c>
      <x:c r="K122" t="str">
        <x:v>Fallback dummy; replace by vnstock</x:v>
      </x:c>
    </x:row>
    <x:row r="123">
      <x:c r="A123" s="30" t="n">
        <x:v>45825</x:v>
      </x:c>
      <x:c r="B123" s="32" t="n">
        <x:v>1203.15</x:v>
      </x:c>
      <x:c r="C123" s="34" t="n">
        <x:f>IFERROR(B123/B122-1,0)</x:f>
        <x:v>-0.012532624218249855</x:v>
      </x:c>
      <x:c r="D123" s="34" t="n">
        <x:f>IFERROR(STDEV.S(C104:C123)*SQRT(252),0)</x:f>
        <x:v>0.14127690053028194</x:v>
      </x:c>
      <x:c r="E123" s="34" t="n">
        <x:f>IFERROR(B123/MAX($B$4:B123)-1,0)</x:f>
        <x:v>-0.0949336141723397</x:v>
      </x:c>
      <x:c r="F123" s="32" t="n">
        <x:v>27806</x:v>
      </x:c>
      <x:c r="G123" s="32" t="n">
        <x:v>-1057</x:v>
      </x:c>
      <x:c r="H123" s="32" t="n">
        <x:v>348.91</x:v>
      </x:c>
      <x:c r="I123" s="32" t="n">
        <x:v>866.27</x:v>
      </x:c>
      <x:c r="J123" s="32" t="n">
        <x:v>1239.25</x:v>
      </x:c>
      <x:c r="K123" t="str">
        <x:v>Fallback dummy; replace by vnstock</x:v>
      </x:c>
    </x:row>
    <x:row r="124">
      <x:c r="A124" s="30" t="n">
        <x:v>45826</x:v>
      </x:c>
      <x:c r="B124" s="32" t="n">
        <x:v>1227.64</x:v>
      </x:c>
      <x:c r="C124" s="34" t="n">
        <x:f>IFERROR(B124/B123-1,0)</x:f>
        <x:v>0.020354901716328033</x:v>
      </x:c>
      <x:c r="D124" s="34" t="n">
        <x:f>IFERROR(STDEV.S(C105:C124)*SQRT(252),0)</x:f>
        <x:v>0.16260017572042923</x:v>
      </x:c>
      <x:c r="E124" s="34" t="n">
        <x:f>IFERROR(B124/MAX($B$4:B124)-1,0)</x:f>
        <x:v>-0.07651107684206548</x:v>
      </x:c>
      <x:c r="F124" s="32" t="n">
        <x:v>25434</x:v>
      </x:c>
      <x:c r="G124" s="32" t="n">
        <x:v>-1174</x:v>
      </x:c>
      <x:c r="H124" s="32" t="n">
        <x:v>356.01</x:v>
      </x:c>
      <x:c r="I124" s="32" t="n">
        <x:v>883.9</x:v>
      </x:c>
      <x:c r="J124" s="32" t="n">
        <x:v>1264.46</x:v>
      </x:c>
      <x:c r="K124" t="str">
        <x:v>Fallback dummy; replace by vnstock</x:v>
      </x:c>
    </x:row>
    <x:row r="125">
      <x:c r="A125" s="30" t="n">
        <x:v>45827</x:v>
      </x:c>
      <x:c r="B125" s="32" t="n">
        <x:v>1223.58</x:v>
      </x:c>
      <x:c r="C125" s="34" t="n">
        <x:f>IFERROR(B125/B124-1,0)</x:f>
        <x:v>-0.003307158450360226</x:v>
      </x:c>
      <x:c r="D125" s="34" t="n">
        <x:f>IFERROR(STDEV.S(C106:C125)*SQRT(252),0)</x:f>
        <x:v>0.1600005014921401</x:v>
      </x:c>
      <x:c r="E125" s="34" t="n">
        <x:f>IFERROR(B125/MAX($B$4:B125)-1,0)</x:f>
        <x:v>-0.07956520103810127</x:v>
      </x:c>
      <x:c r="F125" s="32" t="n">
        <x:v>21450</x:v>
      </x:c>
      <x:c r="G125" s="32" t="n">
        <x:v>-649</x:v>
      </x:c>
      <x:c r="H125" s="32" t="n">
        <x:v>354.84</x:v>
      </x:c>
      <x:c r="I125" s="32" t="n">
        <x:v>880.98</x:v>
      </x:c>
      <x:c r="J125" s="32" t="n">
        <x:v>1260.29</x:v>
      </x:c>
      <x:c r="K125" t="str">
        <x:v>Fallback dummy; replace by vnstock</x:v>
      </x:c>
    </x:row>
    <x:row r="126">
      <x:c r="A126" s="30" t="n">
        <x:v>45828</x:v>
      </x:c>
      <x:c r="B126" s="32" t="n">
        <x:v>1224.3</x:v>
      </x:c>
      <x:c r="C126" s="34" t="n">
        <x:f>IFERROR(B126/B125-1,0)</x:f>
        <x:v>0.0005884372088462708</x:v>
      </x:c>
      <x:c r="D126" s="34" t="n">
        <x:f>IFERROR(STDEV.S(C107:C126)*SQRT(252),0)</x:f>
        <x:v>0.15970768320638173</x:v>
      </x:c>
      <x:c r="E126" s="34" t="n">
        <x:f>IFERROR(B126/MAX($B$4:B126)-1,0)</x:f>
        <x:v>-0.0790235829540753</x:v>
      </x:c>
      <x:c r="F126" s="32" t="n">
        <x:v>17807</x:v>
      </x:c>
      <x:c r="G126" s="32" t="n">
        <x:v>1081</x:v>
      </x:c>
      <x:c r="H126" s="32" t="n">
        <x:v>355.05</x:v>
      </x:c>
      <x:c r="I126" s="32" t="n">
        <x:v>881.49</x:v>
      </x:c>
      <x:c r="J126" s="32" t="n">
        <x:v>1261.03</x:v>
      </x:c>
      <x:c r="K126" t="str">
        <x:v>Fallback dummy; replace by vnstock</x:v>
      </x:c>
    </x:row>
    <x:row r="127">
      <x:c r="A127" s="30" t="n">
        <x:v>45831</x:v>
      </x:c>
      <x:c r="B127" s="32" t="n">
        <x:v>1235.32</x:v>
      </x:c>
      <x:c r="C127" s="34" t="n">
        <x:f>IFERROR(B127/B126-1,0)</x:f>
        <x:v>0.0090010618312506</x:v>
      </x:c>
      <x:c r="D127" s="34" t="n">
        <x:f>IFERROR(STDEV.S(C108:C127)*SQRT(252),0)</x:f>
        <x:v>0.16140564592502335</x:v>
      </x:c>
      <x:c r="E127" s="34" t="n">
        <x:f>IFERROR(B127/MAX($B$4:B127)-1,0)</x:f>
        <x:v>-0.07073381727912131</x:v>
      </x:c>
      <x:c r="F127" s="32" t="n">
        <x:v>23376</x:v>
      </x:c>
      <x:c r="G127" s="32" t="n">
        <x:v>-1449</x:v>
      </x:c>
      <x:c r="H127" s="32" t="n">
        <x:v>358.24</x:v>
      </x:c>
      <x:c r="I127" s="32" t="n">
        <x:v>889.43</x:v>
      </x:c>
      <x:c r="J127" s="32" t="n">
        <x:v>1272.38</x:v>
      </x:c>
      <x:c r="K127" t="str">
        <x:v>Fallback dummy; replace by vnstock</x:v>
      </x:c>
    </x:row>
    <x:row r="128">
      <x:c r="A128" s="30" t="n">
        <x:v>45832</x:v>
      </x:c>
      <x:c r="B128" s="32" t="n">
        <x:v>1234.96</x:v>
      </x:c>
      <x:c r="C128" s="34" t="n">
        <x:f>IFERROR(B128/B127-1,0)</x:f>
        <x:v>-0.0002914224654340103</x:v>
      </x:c>
      <x:c r="D128" s="34" t="n">
        <x:f>IFERROR(STDEV.S(C109:C128)*SQRT(252),0)</x:f>
        <x:v>0.15788600832157978</x:v>
      </x:c>
      <x:c r="E128" s="34" t="n">
        <x:f>IFERROR(B128/MAX($B$4:B128)-1,0)</x:f>
        <x:v>-0.07100462632113425</x:v>
      </x:c>
      <x:c r="F128" s="32" t="n">
        <x:v>23574</x:v>
      </x:c>
      <x:c r="G128" s="32" t="n">
        <x:v>-805</x:v>
      </x:c>
      <x:c r="H128" s="32" t="n">
        <x:v>358.14</x:v>
      </x:c>
      <x:c r="I128" s="32" t="n">
        <x:v>889.17</x:v>
      </x:c>
      <x:c r="J128" s="32" t="n">
        <x:v>1272</x:v>
      </x:c>
      <x:c r="K128" t="str">
        <x:v>Fallback dummy; replace by vnstock</x:v>
      </x:c>
    </x:row>
    <x:row r="129">
      <x:c r="A129" s="30" t="n">
        <x:v>45833</x:v>
      </x:c>
      <x:c r="B129" s="32" t="n">
        <x:v>1218.27</x:v>
      </x:c>
      <x:c r="C129" s="34" t="n">
        <x:f>IFERROR(B129/B128-1,0)</x:f>
        <x:v>-0.013514607760575337</x:v>
      </x:c>
      <x:c r="D129" s="34" t="n">
        <x:f>IFERROR(STDEV.S(C110:C129)*SQRT(252),0)</x:f>
        <x:v>0.15456828295635022</x:v>
      </x:c>
      <x:c r="E129" s="34" t="n">
        <x:f>IFERROR(B129/MAX($B$4:B129)-1,0)</x:f>
        <x:v>-0.08355963440779324</x:v>
      </x:c>
      <x:c r="F129" s="32" t="n">
        <x:v>24637</x:v>
      </x:c>
      <x:c r="G129" s="32" t="n">
        <x:v>-904</x:v>
      </x:c>
      <x:c r="H129" s="32" t="n">
        <x:v>353.3</x:v>
      </x:c>
      <x:c r="I129" s="32" t="n">
        <x:v>877.16</x:v>
      </x:c>
      <x:c r="J129" s="32" t="n">
        <x:v>1254.82</x:v>
      </x:c>
      <x:c r="K129" t="str">
        <x:v>Fallback dummy; replace by vnstock</x:v>
      </x:c>
    </x:row>
    <x:row r="130">
      <x:c r="A130" s="30" t="n">
        <x:v>45834</x:v>
      </x:c>
      <x:c r="B130" s="32" t="n">
        <x:v>1215.33</x:v>
      </x:c>
      <x:c r="C130" s="34" t="n">
        <x:f>IFERROR(B130/B129-1,0)</x:f>
        <x:v>-0.0024132581447462442</x:v>
      </x:c>
      <x:c r="D130" s="34" t="n">
        <x:f>IFERROR(STDEV.S(C111:C130)*SQRT(252),0)</x:f>
        <x:v>0.15461922462783695</x:v>
      </x:c>
      <x:c r="E130" s="34" t="n">
        <x:f>IFERROR(B130/MAX($B$4:B130)-1,0)</x:f>
        <x:v>-0.08577124158423288</x:v>
      </x:c>
      <x:c r="F130" s="32" t="n">
        <x:v>15188</x:v>
      </x:c>
      <x:c r="G130" s="32" t="n">
        <x:v>542</x:v>
      </x:c>
      <x:c r="H130" s="32" t="n">
        <x:v>352.45</x:v>
      </x:c>
      <x:c r="I130" s="32" t="n">
        <x:v>875.04</x:v>
      </x:c>
      <x:c r="J130" s="32" t="n">
        <x:v>1251.79</x:v>
      </x:c>
      <x:c r="K130" t="str">
        <x:v>Fallback dummy; replace by vnstock</x:v>
      </x:c>
    </x:row>
    <x:row r="131">
      <x:c r="A131" s="30" t="n">
        <x:v>45835</x:v>
      </x:c>
      <x:c r="B131" s="32" t="n">
        <x:v>1219.61</x:v>
      </x:c>
      <x:c r="C131" s="34" t="n">
        <x:f>IFERROR(B131/B130-1,0)</x:f>
        <x:v>0.0035216772399266905</x:v>
      </x:c>
      <x:c r="D131" s="34" t="n">
        <x:f>IFERROR(STDEV.S(C112:C131)*SQRT(252),0)</x:f>
        <x:v>0.14246876578041962</x:v>
      </x:c>
      <x:c r="E131" s="34" t="n">
        <x:f>IFERROR(B131/MAX($B$4:B131)-1,0)</x:f>
        <x:v>-0.08255162297363372</x:v>
      </x:c>
      <x:c r="F131" s="32" t="n">
        <x:v>13559</x:v>
      </x:c>
      <x:c r="G131" s="32" t="n">
        <x:v>1139</x:v>
      </x:c>
      <x:c r="H131" s="32" t="n">
        <x:v>353.69</x:v>
      </x:c>
      <x:c r="I131" s="32" t="n">
        <x:v>878.12</x:v>
      </x:c>
      <x:c r="J131" s="32" t="n">
        <x:v>1256.19</x:v>
      </x:c>
      <x:c r="K131" t="str">
        <x:v>Fallback dummy; replace by vnstock</x:v>
      </x:c>
    </x:row>
    <x:row r="132">
      <x:c r="A132" s="30" t="n">
        <x:v>45838</x:v>
      </x:c>
      <x:c r="B132" s="32" t="n">
        <x:v>1225.09</x:v>
      </x:c>
      <x:c r="C132" s="34" t="n">
        <x:f>IFERROR(B132/B131-1,0)</x:f>
        <x:v>0.004493239642180624</x:v>
      </x:c>
      <x:c r="D132" s="34" t="n">
        <x:f>IFERROR(STDEV.S(C113:C132)*SQRT(252),0)</x:f>
        <x:v>0.140607217520469</x:v>
      </x:c>
      <x:c r="E132" s="34" t="n">
        <x:f>IFERROR(B132/MAX($B$4:B132)-1,0)</x:f>
        <x:v>-0.07842930755632449</x:v>
      </x:c>
      <x:c r="F132" s="32" t="n">
        <x:v>26010</x:v>
      </x:c>
      <x:c r="G132" s="32" t="n">
        <x:v>75</x:v>
      </x:c>
      <x:c r="H132" s="32" t="n">
        <x:v>355.28</x:v>
      </x:c>
      <x:c r="I132" s="32" t="n">
        <x:v>882.07</x:v>
      </x:c>
      <x:c r="J132" s="32" t="n">
        <x:v>1261.85</x:v>
      </x:c>
      <x:c r="K132" t="str">
        <x:v>Fallback dummy; replace by vnstock</x:v>
      </x:c>
    </x:row>
    <x:row r="133">
      <x:c r="A133" s="30" t="n">
        <x:v>45839</x:v>
      </x:c>
      <x:c r="B133" s="32" t="n">
        <x:v>1218.46</x:v>
      </x:c>
      <x:c r="C133" s="34" t="n">
        <x:f>IFERROR(B133/B132-1,0)</x:f>
        <x:v>-0.0054118472928518235</x:v>
      </x:c>
      <x:c r="D133" s="34" t="n">
        <x:f>IFERROR(STDEV.S(C114:C133)*SQRT(252),0)</x:f>
        <x:v>0.14118103775155252</x:v>
      </x:c>
      <x:c r="E133" s="34" t="n">
        <x:f>IFERROR(B133/MAX($B$4:B133)-1,0)</x:f>
        <x:v>-0.08341670741339746</x:v>
      </x:c>
      <x:c r="F133" s="32" t="n">
        <x:v>14403</x:v>
      </x:c>
      <x:c r="G133" s="32" t="n">
        <x:v>30</x:v>
      </x:c>
      <x:c r="H133" s="32" t="n">
        <x:v>353.35</x:v>
      </x:c>
      <x:c r="I133" s="32" t="n">
        <x:v>877.29</x:v>
      </x:c>
      <x:c r="J133" s="32" t="n">
        <x:v>1255.02</x:v>
      </x:c>
      <x:c r="K133" t="str">
        <x:v>Fallback dummy; replace by vnstock</x:v>
      </x:c>
    </x:row>
    <x:row r="134">
      <x:c r="A134" s="30" t="n">
        <x:v>45840</x:v>
      </x:c>
      <x:c r="B134" s="32" t="n">
        <x:v>1232.54</x:v>
      </x:c>
      <x:c r="C134" s="34" t="n">
        <x:f>IFERROR(B134/B133-1,0)</x:f>
        <x:v>0.01155557014592179</x:v>
      </x:c>
      <x:c r="D134" s="34" t="n">
        <x:f>IFERROR(STDEV.S(C115:C134)*SQRT(252),0)</x:f>
        <x:v>0.1470955239585581</x:v>
      </x:c>
      <x:c r="E134" s="34" t="n">
        <x:f>IFERROR(B134/MAX($B$4:B134)-1,0)</x:f>
        <x:v>-0.072825064881333</x:v>
      </x:c>
      <x:c r="F134" s="32" t="n">
        <x:v>20150</x:v>
      </x:c>
      <x:c r="G134" s="32" t="n">
        <x:v>-816</x:v>
      </x:c>
      <x:c r="H134" s="32" t="n">
        <x:v>357.44</x:v>
      </x:c>
      <x:c r="I134" s="32" t="n">
        <x:v>887.43</x:v>
      </x:c>
      <x:c r="J134" s="32" t="n">
        <x:v>1269.52</x:v>
      </x:c>
      <x:c r="K134" t="str">
        <x:v>Fallback dummy; replace by vnstock</x:v>
      </x:c>
    </x:row>
    <x:row r="135">
      <x:c r="A135" s="30" t="n">
        <x:v>45841</x:v>
      </x:c>
      <x:c r="B135" s="32" t="n">
        <x:v>1215.02</x:v>
      </x:c>
      <x:c r="C135" s="34" t="n">
        <x:f>IFERROR(B135/B134-1,0)</x:f>
        <x:v>-0.014214548817888195</x:v>
      </x:c>
      <x:c r="D135" s="34" t="n">
        <x:f>IFERROR(STDEV.S(C116:C135)*SQRT(252),0)</x:f>
        <x:v>0.15318240307330774</x:v>
      </x:c>
      <x:c r="E135" s="34" t="n">
        <x:f>IFERROR(B135/MAX($B$4:B135)-1,0)</x:f>
        <x:v>-0.0860044382592996</x:v>
      </x:c>
      <x:c r="F135" s="32" t="n">
        <x:v>17978</x:v>
      </x:c>
      <x:c r="G135" s="32" t="n">
        <x:v>-1687</x:v>
      </x:c>
      <x:c r="H135" s="32" t="n">
        <x:v>352.35</x:v>
      </x:c>
      <x:c r="I135" s="32" t="n">
        <x:v>874.81</x:v>
      </x:c>
      <x:c r="J135" s="32" t="n">
        <x:v>1251.47</x:v>
      </x:c>
      <x:c r="K135" t="str">
        <x:v>Fallback dummy; replace by vnstock</x:v>
      </x:c>
    </x:row>
    <x:row r="136">
      <x:c r="A136" s="30" t="n">
        <x:v>45842</x:v>
      </x:c>
      <x:c r="B136" s="32" t="n">
        <x:v>1195.85</x:v>
      </x:c>
      <x:c r="C136" s="34" t="n">
        <x:f>IFERROR(B136/B135-1,0)</x:f>
        <x:v>-0.01577751806554628</x:v>
      </x:c>
      <x:c r="D136" s="34" t="n">
        <x:f>IFERROR(STDEV.S(C117:C136)*SQRT(252),0)</x:f>
        <x:v>0.16142774386017011</x:v>
      </x:c>
      <x:c r="E136" s="34" t="n">
        <x:f>IFERROR(B136/MAX($B$4:B136)-1,0)</x:f>
        <x:v>-0.10042501974649265</x:v>
      </x:c>
      <x:c r="F136" s="32" t="n">
        <x:v>13669</x:v>
      </x:c>
      <x:c r="G136" s="32" t="n">
        <x:v>-1542</x:v>
      </x:c>
      <x:c r="H136" s="32" t="n">
        <x:v>346.8</x:v>
      </x:c>
      <x:c r="I136" s="32" t="n">
        <x:v>861.01</x:v>
      </x:c>
      <x:c r="J136" s="32" t="n">
        <x:v>1231.73</x:v>
      </x:c>
      <x:c r="K136" t="str">
        <x:v>Fallback dummy; replace by vnstock</x:v>
      </x:c>
    </x:row>
    <x:row r="137">
      <x:c r="A137" s="30" t="n">
        <x:v>45845</x:v>
      </x:c>
      <x:c r="B137" s="32" t="n">
        <x:v>1204.45</x:v>
      </x:c>
      <x:c r="C137" s="34" t="n">
        <x:f>IFERROR(B137/B136-1,0)</x:f>
        <x:v>0.0071915374001756405</x:v>
      </x:c>
      <x:c r="D137" s="34" t="n">
        <x:f>IFERROR(STDEV.S(C118:C137)*SQRT(252),0)</x:f>
        <x:v>0.1584280447837647</x:v>
      </x:c>
      <x:c r="E137" s="34" t="n">
        <x:f>IFERROR(B137/MAX($B$4:B137)-1,0)</x:f>
        <x:v>-0.0939556926317372</x:v>
      </x:c>
      <x:c r="F137" s="32" t="n">
        <x:v>24389</x:v>
      </x:c>
      <x:c r="G137" s="32" t="n">
        <x:v>-147</x:v>
      </x:c>
      <x:c r="H137" s="32" t="n">
        <x:v>349.29</x:v>
      </x:c>
      <x:c r="I137" s="32" t="n">
        <x:v>867.2</x:v>
      </x:c>
      <x:c r="J137" s="32" t="n">
        <x:v>1240.58</x:v>
      </x:c>
      <x:c r="K137" t="str">
        <x:v>Fallback dummy; replace by vnstock</x:v>
      </x:c>
    </x:row>
    <x:row r="138">
      <x:c r="A138" s="30" t="n">
        <x:v>45846</x:v>
      </x:c>
      <x:c r="B138" s="32" t="n">
        <x:v>1199.38</x:v>
      </x:c>
      <x:c r="C138" s="34" t="n">
        <x:f>IFERROR(B138/B137-1,0)</x:f>
        <x:v>-0.004209390178089523</x:v>
      </x:c>
      <x:c r="D138" s="34" t="n">
        <x:f>IFERROR(STDEV.S(C119:C138)*SQRT(252),0)</x:f>
        <x:v>0.15578901369201478</x:v>
      </x:c>
      <x:c r="E138" s="34" t="n">
        <x:f>IFERROR(B138/MAX($B$4:B138)-1,0)</x:f>
        <x:v>-0.09776958664008717</x:v>
      </x:c>
      <x:c r="F138" s="32" t="n">
        <x:v>23606</x:v>
      </x:c>
      <x:c r="G138" s="32" t="n">
        <x:v>463</x:v>
      </x:c>
      <x:c r="H138" s="32" t="n">
        <x:v>347.82</x:v>
      </x:c>
      <x:c r="I138" s="32" t="n">
        <x:v>863.55</x:v>
      </x:c>
      <x:c r="J138" s="32" t="n">
        <x:v>1235.36</x:v>
      </x:c>
      <x:c r="K138" t="str">
        <x:v>Fallback dummy; replace by vnstock</x:v>
      </x:c>
    </x:row>
    <x:row r="139">
      <x:c r="A139" s="30" t="n">
        <x:v>45847</x:v>
      </x:c>
      <x:c r="B139" s="32" t="n">
        <x:v>1210.59</x:v>
      </x:c>
      <x:c r="C139" s="34" t="n">
        <x:f>IFERROR(B139/B138-1,0)</x:f>
        <x:v>0.00934649568943935</x:v>
      </x:c>
      <x:c r="D139" s="34" t="n">
        <x:f>IFERROR(STDEV.S(C120:C139)*SQRT(252),0)</x:f>
        <x:v>0.15883697732192678</x:v>
      </x:c>
      <x:c r="E139" s="34" t="n">
        <x:f>IFERROR(B139/MAX($B$4:B139)-1,0)</x:f>
        <x:v>-0.08933689397073763</x:v>
      </x:c>
      <x:c r="F139" s="32" t="n">
        <x:v>23695</x:v>
      </x:c>
      <x:c r="G139" s="32" t="n">
        <x:v>-279</x:v>
      </x:c>
      <x:c r="H139" s="32" t="n">
        <x:v>351.07</x:v>
      </x:c>
      <x:c r="I139" s="32" t="n">
        <x:v>871.63</x:v>
      </x:c>
      <x:c r="J139" s="32" t="n">
        <x:v>1246.91</x:v>
      </x:c>
      <x:c r="K139" t="str">
        <x:v>Fallback dummy; replace by vnstock</x:v>
      </x:c>
    </x:row>
    <x:row r="140">
      <x:c r="A140" s="30" t="n">
        <x:v>45848</x:v>
      </x:c>
      <x:c r="B140" s="32" t="n">
        <x:v>1217.66</x:v>
      </x:c>
      <x:c r="C140" s="34" t="n">
        <x:f>IFERROR(B140/B139-1,0)</x:f>
        <x:v>0.005840127541116402</x:v>
      </x:c>
      <x:c r="D140" s="34" t="n">
        <x:f>IFERROR(STDEV.S(C121:C140)*SQRT(252),0)</x:f>
        <x:v>0.1564602741192787</x:v>
      </x:c>
      <x:c r="E140" s="34" t="n">
        <x:f>IFERROR(B140/MAX($B$4:B140)-1,0)</x:f>
        <x:v>-0.08401850528453747</x:v>
      </x:c>
      <x:c r="F140" s="32" t="n">
        <x:v>24036</x:v>
      </x:c>
      <x:c r="G140" s="32" t="n">
        <x:v>904</x:v>
      </x:c>
      <x:c r="H140" s="32" t="n">
        <x:v>353.12</x:v>
      </x:c>
      <x:c r="I140" s="32" t="n">
        <x:v>876.72</x:v>
      </x:c>
      <x:c r="J140" s="32" t="n">
        <x:v>1254.19</x:v>
      </x:c>
      <x:c r="K140" t="str">
        <x:v>Fallback dummy; replace by vnstock</x:v>
      </x:c>
    </x:row>
    <x:row r="141">
      <x:c r="A141" s="30" t="n">
        <x:v>45849</x:v>
      </x:c>
      <x:c r="B141" s="32" t="n">
        <x:v>1216.15</x:v>
      </x:c>
      <x:c r="C141" s="34" t="n">
        <x:f>IFERROR(B141/B140-1,0)</x:f>
        <x:v>-0.0012400834387267246</x:v>
      </x:c>
      <x:c r="D141" s="34" t="n">
        <x:f>IFERROR(STDEV.S(C122:C141)*SQRT(252),0)</x:f>
        <x:v>0.15469668036872103</x:v>
      </x:c>
      <x:c r="E141" s="34" t="n">
        <x:f>IFERROR(B141/MAX($B$4:B141)-1,0)</x:f>
        <x:v>-0.08515439876631425</x:v>
      </x:c>
      <x:c r="F141" s="32" t="n">
        <x:v>25554</x:v>
      </x:c>
      <x:c r="G141" s="32" t="n">
        <x:v>-470</x:v>
      </x:c>
      <x:c r="H141" s="32" t="n">
        <x:v>352.68</x:v>
      </x:c>
      <x:c r="I141" s="32" t="n">
        <x:v>875.63</x:v>
      </x:c>
      <x:c r="J141" s="32" t="n">
        <x:v>1252.64</x:v>
      </x:c>
      <x:c r="K141" t="str">
        <x:v>Fallback dummy; replace by vnstock</x:v>
      </x:c>
    </x:row>
    <x:row r="142">
      <x:c r="A142" s="30" t="n">
        <x:v>45852</x:v>
      </x:c>
      <x:c r="B142" s="32" t="n">
        <x:v>1213.86</x:v>
      </x:c>
      <x:c r="C142" s="34" t="n">
        <x:f>IFERROR(B142/B141-1,0)</x:f>
        <x:v>-0.001882991407310075</x:v>
      </x:c>
      <x:c r="D142" s="34" t="n">
        <x:f>IFERROR(STDEV.S(C123:C142)*SQRT(252),0)</x:f>
        <x:v>0.1499015484506136</x:v>
      </x:c>
      <x:c r="E142" s="34" t="n">
        <x:f>IFERROR(B142/MAX($B$4:B142)-1,0)</x:f>
        <x:v>-0.08687704517245276</x:v>
      </x:c>
      <x:c r="F142" s="32" t="n">
        <x:v>18078</x:v>
      </x:c>
      <x:c r="G142" s="32" t="n">
        <x:v>-1680</x:v>
      </x:c>
      <x:c r="H142" s="32" t="n">
        <x:v>352.02</x:v>
      </x:c>
      <x:c r="I142" s="32" t="n">
        <x:v>873.98</x:v>
      </x:c>
      <x:c r="J142" s="32" t="n">
        <x:v>1250.28</x:v>
      </x:c>
      <x:c r="K142" t="str">
        <x:v>Fallback dummy; replace by vnstock</x:v>
      </x:c>
    </x:row>
    <x:row r="143">
      <x:c r="A143" s="30" t="n">
        <x:v>45853</x:v>
      </x:c>
      <x:c r="B143" s="32" t="n">
        <x:v>1237.2</x:v>
      </x:c>
      <x:c r="C143" s="34" t="n">
        <x:f>IFERROR(B143/B142-1,0)</x:f>
        <x:v>0.01922791755227138</x:v>
      </x:c>
      <x:c r="D143" s="34" t="n">
        <x:f>IFERROR(STDEV.S(C124:C143)*SQRT(252),0)</x:f>
        <x:v>0.1573027248864085</x:v>
      </x:c>
      <x:c r="E143" s="34" t="n">
        <x:f>IFERROR(B143/MAX($B$4:B143)-1,0)</x:f>
        <x:v>-0.06931959228194218</x:v>
      </x:c>
      <x:c r="F143" s="32" t="n">
        <x:v>22440</x:v>
      </x:c>
      <x:c r="G143" s="32" t="n">
        <x:v>401</x:v>
      </x:c>
      <x:c r="H143" s="32" t="n">
        <x:v>358.79</x:v>
      </x:c>
      <x:c r="I143" s="32" t="n">
        <x:v>890.78</x:v>
      </x:c>
      <x:c r="J143" s="32" t="n">
        <x:v>1274.31</x:v>
      </x:c>
      <x:c r="K143" t="str">
        <x:v>Fallback dummy; replace by vnstock</x:v>
      </x:c>
    </x:row>
    <x:row r="144">
      <x:c r="A144" s="30" t="n">
        <x:v>45854</x:v>
      </x:c>
      <x:c r="B144" s="32" t="n">
        <x:v>1223.14</x:v>
      </x:c>
      <x:c r="C144" s="34" t="n">
        <x:f>IFERROR(B144/B143-1,0)</x:f>
        <x:v>-0.011364371160685338</x:v>
      </x:c>
      <x:c r="D144" s="34" t="n">
        <x:f>IFERROR(STDEV.S(C125:C144)*SQRT(252),0)</x:f>
        <x:v>0.1466584317208856</x:v>
      </x:c>
      <x:c r="E144" s="34" t="n">
        <x:f>IFERROR(B144/MAX($B$4:B144)-1,0)</x:f>
        <x:v>-0.07989618986722824</x:v>
      </x:c>
      <x:c r="F144" s="32" t="n">
        <x:v>22357</x:v>
      </x:c>
      <x:c r="G144" s="32" t="n">
        <x:v>-1332</x:v>
      </x:c>
      <x:c r="H144" s="32" t="n">
        <x:v>354.71</x:v>
      </x:c>
      <x:c r="I144" s="32" t="n">
        <x:v>880.66</x:v>
      </x:c>
      <x:c r="J144" s="32" t="n">
        <x:v>1259.84</x:v>
      </x:c>
      <x:c r="K144" t="str">
        <x:v>Fallback dummy; replace by vnstock</x:v>
      </x:c>
    </x:row>
    <x:row r="145">
      <x:c r="A145" s="30" t="n">
        <x:v>45855</x:v>
      </x:c>
      <x:c r="B145" s="32" t="n">
        <x:v>1211.39</x:v>
      </x:c>
      <x:c r="C145" s="34" t="n">
        <x:f>IFERROR(B145/B144-1,0)</x:f>
        <x:v>-0.009606422813414617</x:v>
      </x:c>
      <x:c r="D145" s="34" t="n">
        <x:f>IFERROR(STDEV.S(C126:C145)*SQRT(252),0)</x:f>
        <x:v>0.15012455641696865</x:v>
      </x:c>
      <x:c r="E145" s="34" t="n">
        <x:f>IFERROR(B145/MAX($B$4:B145)-1,0)</x:f>
        <x:v>-0.0887350960995974</x:v>
      </x:c>
      <x:c r="F145" s="32" t="n">
        <x:v>26472</x:v>
      </x:c>
      <x:c r="G145" s="32" t="n">
        <x:v>773</x:v>
      </x:c>
      <x:c r="H145" s="32" t="n">
        <x:v>351.3</x:v>
      </x:c>
      <x:c r="I145" s="32" t="n">
        <x:v>872.2</x:v>
      </x:c>
      <x:c r="J145" s="32" t="n">
        <x:v>1247.74</x:v>
      </x:c>
      <x:c r="K145" t="str">
        <x:v>Fallback dummy; replace by vnstock</x:v>
      </x:c>
    </x:row>
    <x:row r="146">
      <x:c r="A146" s="30" t="n">
        <x:v>45856</x:v>
      </x:c>
      <x:c r="B146" s="32" t="n">
        <x:v>1200.37</x:v>
      </x:c>
      <x:c r="C146" s="34" t="n">
        <x:f>IFERROR(B146/B145-1,0)</x:f>
        <x:v>-0.00909698775786505</x:v>
      </x:c>
      <x:c r="D146" s="34" t="n">
        <x:f>IFERROR(STDEV.S(C127:C146)*SQRT(252),0)</x:f>
        <x:v>0.15313556760419156</x:v>
      </x:c>
      <x:c r="E146" s="34" t="n">
        <x:f>IFERROR(B146/MAX($B$4:B146)-1,0)</x:f>
        <x:v>-0.0970248617745515</x:v>
      </x:c>
      <x:c r="F146" s="32" t="n">
        <x:v>13647</x:v>
      </x:c>
      <x:c r="G146" s="32" t="n">
        <x:v>-1085</x:v>
      </x:c>
      <x:c r="H146" s="32" t="n">
        <x:v>348.11</x:v>
      </x:c>
      <x:c r="I146" s="32" t="n">
        <x:v>864.26</x:v>
      </x:c>
      <x:c r="J146" s="32" t="n">
        <x:v>1236.38</x:v>
      </x:c>
      <x:c r="K146" t="str">
        <x:v>Fallback dummy; replace by vnstock</x:v>
      </x:c>
    </x:row>
    <x:row r="147">
      <x:c r="A147" s="30" t="n">
        <x:v>45859</x:v>
      </x:c>
      <x:c r="B147" s="32" t="n">
        <x:v>1188.28</x:v>
      </x:c>
      <x:c r="C147" s="34" t="n">
        <x:f>IFERROR(B147/B146-1,0)</x:f>
        <x:v>-0.010071894499195988</x:v>
      </x:c>
      <x:c r="D147" s="34" t="n">
        <x:f>IFERROR(STDEV.S(C128:C147)*SQRT(252),0)</x:f>
        <x:v>0.15166874344429235</x:v>
      </x:c>
      <x:c r="E147" s="34" t="n">
        <x:f>IFERROR(B147/MAX($B$4:B147)-1,0)</x:f>
        <x:v>-0.10611953210215519</x:v>
      </x:c>
      <x:c r="F147" s="32" t="n">
        <x:v>18490</x:v>
      </x:c>
      <x:c r="G147" s="32" t="n">
        <x:v>-399</x:v>
      </x:c>
      <x:c r="H147" s="32" t="n">
        <x:v>344.6</x:v>
      </x:c>
      <x:c r="I147" s="32" t="n">
        <x:v>855.56</x:v>
      </x:c>
      <x:c r="J147" s="32" t="n">
        <x:v>1223.93</x:v>
      </x:c>
      <x:c r="K147" t="str">
        <x:v>Fallback dummy; replace by vnstock</x:v>
      </x:c>
    </x:row>
    <x:row r="148">
      <x:c r="A148" s="30" t="n">
        <x:v>45860</x:v>
      </x:c>
      <x:c r="B148" s="32" t="n">
        <x:v>1179.6</x:v>
      </x:c>
      <x:c r="C148" s="34" t="n">
        <x:f>IFERROR(B148/B147-1,0)</x:f>
        <x:v>-0.007304675665668059</x:v>
      </x:c>
      <x:c r="D148" s="34" t="n">
        <x:f>IFERROR(STDEV.S(C129:C148)*SQRT(252),0)</x:f>
        <x:v>0.15272409882270818</x:v>
      </x:c>
      <x:c r="E148" s="34" t="n">
        <x:f>IFERROR(B148/MAX($B$4:B148)-1,0)</x:f>
        <x:v>-0.11264903900402456</x:v>
      </x:c>
      <x:c r="F148" s="32" t="n">
        <x:v>15126</x:v>
      </x:c>
      <x:c r="G148" s="32" t="n">
        <x:v>-1108</x:v>
      </x:c>
      <x:c r="H148" s="32" t="n">
        <x:v>342.08</x:v>
      </x:c>
      <x:c r="I148" s="32" t="n">
        <x:v>849.31</x:v>
      </x:c>
      <x:c r="J148" s="32" t="n">
        <x:v>1214.99</x:v>
      </x:c>
      <x:c r="K148" t="str">
        <x:v>Fallback dummy; replace by vnstock</x:v>
      </x:c>
    </x:row>
    <x:row r="149">
      <x:c r="A149" s="30" t="n">
        <x:v>45861</x:v>
      </x:c>
      <x:c r="B149" s="32" t="n">
        <x:v>1185.58</x:v>
      </x:c>
      <x:c r="C149" s="34" t="n">
        <x:f>IFERROR(B149/B148-1,0)</x:f>
        <x:v>0.005069515089860976</x:v>
      </x:c>
      <x:c r="D149" s="34" t="n">
        <x:f>IFERROR(STDEV.S(C130:C149)*SQRT(252),0)</x:f>
        <x:v>0.1487331087046454</x:v>
      </x:c>
      <x:c r="E149" s="34" t="n">
        <x:f>IFERROR(B149/MAX($B$4:B149)-1,0)</x:f>
        <x:v>-0.10815059991725273</x:v>
      </x:c>
      <x:c r="F149" s="32" t="n">
        <x:v>13721</x:v>
      </x:c>
      <x:c r="G149" s="32" t="n">
        <x:v>939</x:v>
      </x:c>
      <x:c r="H149" s="32" t="n">
        <x:v>343.82</x:v>
      </x:c>
      <x:c r="I149" s="32" t="n">
        <x:v>853.62</x:v>
      </x:c>
      <x:c r="J149" s="32" t="n">
        <x:v>1221.15</x:v>
      </x:c>
      <x:c r="K149" t="str">
        <x:v>Fallback dummy; replace by vnstock</x:v>
      </x:c>
    </x:row>
    <x:row r="150">
      <x:c r="A150" s="30" t="n">
        <x:v>45862</x:v>
      </x:c>
      <x:c r="B150" s="32" t="n">
        <x:v>1188</x:v>
      </x:c>
      <x:c r="C150" s="34" t="n">
        <x:f>IFERROR(B150/B149-1,0)</x:f>
        <x:v>0.0020411950269068058</x:v>
      </x:c>
      <x:c r="D150" s="34" t="n">
        <x:f>IFERROR(STDEV.S(C131:C150)*SQRT(252),0)</x:f>
        <x:v>0.14913772615750898</x:v>
      </x:c>
      <x:c r="E150" s="34" t="n">
        <x:f>IFERROR(B150/MAX($B$4:B150)-1,0)</x:f>
        <x:v>-0.10633016135705409</x:v>
      </x:c>
      <x:c r="F150" s="32" t="n">
        <x:v>26400</x:v>
      </x:c>
      <x:c r="G150" s="32" t="n">
        <x:v>-1496</x:v>
      </x:c>
      <x:c r="H150" s="32" t="n">
        <x:v>344.52</x:v>
      </x:c>
      <x:c r="I150" s="32" t="n">
        <x:v>855.36</x:v>
      </x:c>
      <x:c r="J150" s="32" t="n">
        <x:v>1223.64</x:v>
      </x:c>
      <x:c r="K150" t="str">
        <x:v>Fallback dummy; replace by vnstock</x:v>
      </x:c>
    </x:row>
    <x:row r="151">
      <x:c r="A151" s="30" t="n">
        <x:v>45863</x:v>
      </x:c>
      <x:c r="B151" s="32" t="n">
        <x:v>1178.36</x:v>
      </x:c>
      <x:c r="C151" s="34" t="n">
        <x:f>IFERROR(B151/B150-1,0)</x:f>
        <x:v>-0.008114478114478185</x:v>
      </x:c>
      <x:c r="D151" s="34" t="n">
        <x:f>IFERROR(STDEV.S(C132:C151)*SQRT(252),0)</x:f>
        <x:v>0.15007731398168905</x:v>
      </x:c>
      <x:c r="E151" s="34" t="n">
        <x:f>IFERROR(B151/MAX($B$4:B151)-1,0)</x:f>
        <x:v>-0.11358182570429154</x:v>
      </x:c>
      <x:c r="F151" s="32" t="n">
        <x:v>26159</x:v>
      </x:c>
      <x:c r="G151" s="32" t="n">
        <x:v>-464</x:v>
      </x:c>
      <x:c r="H151" s="32" t="n">
        <x:v>341.72</x:v>
      </x:c>
      <x:c r="I151" s="32" t="n">
        <x:v>848.42</x:v>
      </x:c>
      <x:c r="J151" s="32" t="n">
        <x:v>1213.71</x:v>
      </x:c>
      <x:c r="K151" t="str">
        <x:v>Fallback dummy; replace by vnstock</x:v>
      </x:c>
    </x:row>
    <x:row r="152">
      <x:c r="A152" s="30" t="n">
        <x:v>45866</x:v>
      </x:c>
      <x:c r="B152" s="32" t="n">
        <x:v>1182.04</x:v>
      </x:c>
      <x:c r="C152" s="34" t="n">
        <x:f>IFERROR(B152/B151-1,0)</x:f>
        <x:v>0.00312298448691406</x:v>
      </x:c>
      <x:c r="D152" s="34" t="n">
        <x:f>IFERROR(STDEV.S(C133:C152)*SQRT(252),0)</x:f>
        <x:v>0.1494075032808286</x:v>
      </x:c>
      <x:c r="E152" s="34" t="n">
        <x:f>IFERROR(B152/MAX($B$4:B152)-1,0)</x:f>
        <x:v>-0.11081355549704741</x:v>
      </x:c>
      <x:c r="F152" s="32" t="n">
        <x:v>22598</x:v>
      </x:c>
      <x:c r="G152" s="32" t="n">
        <x:v>695</x:v>
      </x:c>
      <x:c r="H152" s="32" t="n">
        <x:v>342.79</x:v>
      </x:c>
      <x:c r="I152" s="32" t="n">
        <x:v>851.07</x:v>
      </x:c>
      <x:c r="J152" s="32" t="n">
        <x:v>1217.5</x:v>
      </x:c>
      <x:c r="K152" t="str">
        <x:v>Fallback dummy; replace by vnstock</x:v>
      </x:c>
    </x:row>
    <x:row r="153">
      <x:c r="A153" s="30" t="n">
        <x:v>45867</x:v>
      </x:c>
      <x:c r="B153" s="32" t="n">
        <x:v>1185.46</x:v>
      </x:c>
      <x:c r="C153" s="34" t="n">
        <x:f>IFERROR(B153/B152-1,0)</x:f>
        <x:v>0.0028933031031099787</x:v>
      </x:c>
      <x:c r="D153" s="34" t="n">
        <x:f>IFERROR(STDEV.S(C134:C153)*SQRT(252),0)</x:f>
        <x:v>0.14961238988644793</x:v>
      </x:c>
      <x:c r="E153" s="34" t="n">
        <x:f>IFERROR(B153/MAX($B$4:B153)-1,0)</x:f>
        <x:v>-0.10824086959792367</x:v>
      </x:c>
      <x:c r="F153" s="32" t="n">
        <x:v>12085</x:v>
      </x:c>
      <x:c r="G153" s="32" t="n">
        <x:v>-1410</x:v>
      </x:c>
      <x:c r="H153" s="32" t="n">
        <x:v>343.78</x:v>
      </x:c>
      <x:c r="I153" s="32" t="n">
        <x:v>853.53</x:v>
      </x:c>
      <x:c r="J153" s="32" t="n">
        <x:v>1221.03</x:v>
      </x:c>
      <x:c r="K153" t="str">
        <x:v>Fallback dummy; replace by vnstock</x:v>
      </x:c>
    </x:row>
    <x:row r="154">
      <x:c r="A154" s="30" t="n">
        <x:v>45868</x:v>
      </x:c>
      <x:c r="B154" s="32" t="n">
        <x:v>1181.86</x:v>
      </x:c>
      <x:c r="C154" s="34" t="n">
        <x:f>IFERROR(B154/B153-1,0)</x:f>
        <x:v>-0.003036795842964013</x:v>
      </x:c>
      <x:c r="D154" s="34" t="n">
        <x:f>IFERROR(STDEV.S(C135:C154)*SQRT(252),0)</x:f>
        <x:v>0.14170112561564932</x:v>
      </x:c>
      <x:c r="E154" s="34" t="n">
        <x:f>IFERROR(B154/MAX($B$4:B154)-1,0)</x:f>
        <x:v>-0.11094896001805399</x:v>
      </x:c>
      <x:c r="F154" s="32" t="n">
        <x:v>21342</x:v>
      </x:c>
      <x:c r="G154" s="32" t="n">
        <x:v>-668</x:v>
      </x:c>
      <x:c r="H154" s="32" t="n">
        <x:v>342.74</x:v>
      </x:c>
      <x:c r="I154" s="32" t="n">
        <x:v>850.94</x:v>
      </x:c>
      <x:c r="J154" s="32" t="n">
        <x:v>1217.32</x:v>
      </x:c>
      <x:c r="K154" t="str">
        <x:v>Fallback dummy; replace by vnstock</x:v>
      </x:c>
    </x:row>
    <x:row r="155">
      <x:c r="A155" s="30" t="n">
        <x:v>45869</x:v>
      </x:c>
      <x:c r="B155" s="32" t="n">
        <x:v>1185.12</x:v>
      </x:c>
      <x:c r="C155" s="34" t="n">
        <x:f>IFERROR(B155/B154-1,0)</x:f>
        <x:v>0.002758363934814545</x:v>
      </x:c>
      <x:c r="D155" s="34" t="n">
        <x:f>IFERROR(STDEV.S(C136:C155)*SQRT(252),0)</x:f>
        <x:v>0.13504219638718315</x:v>
      </x:c>
      <x:c r="E155" s="34" t="n">
        <x:f>IFERROR(B155/MAX($B$4:B155)-1,0)</x:f>
        <x:v>-0.10849663369315832</x:v>
      </x:c>
      <x:c r="F155" s="32" t="n">
        <x:v>19419</x:v>
      </x:c>
      <x:c r="G155" s="32" t="n">
        <x:v>-89</x:v>
      </x:c>
      <x:c r="H155" s="32" t="n">
        <x:v>343.69</x:v>
      </x:c>
      <x:c r="I155" s="32" t="n">
        <x:v>853.29</x:v>
      </x:c>
      <x:c r="J155" s="32" t="n">
        <x:v>1220.68</x:v>
      </x:c>
      <x:c r="K155" t="str">
        <x:v>Fallback dummy; replace by vnstock</x:v>
      </x:c>
    </x:row>
    <x:row r="156">
      <x:c r="A156" s="30" t="n">
        <x:v>45870</x:v>
      </x:c>
      <x:c r="B156" s="32" t="n">
        <x:v>1183.37</x:v>
      </x:c>
      <x:c r="C156" s="34" t="n">
        <x:f>IFERROR(B156/B155-1,0)</x:f>
        <x:v>-0.0014766437154043466</x:v>
      </x:c>
      <x:c r="D156" s="34" t="n">
        <x:f>IFERROR(STDEV.S(C137:C156)*SQRT(252),0)</x:f>
        <x:v>0.12364211184424814</x:v>
      </x:c>
      <x:c r="E156" s="34" t="n">
        <x:f>IFERROR(B156/MAX($B$4:B156)-1,0)</x:f>
        <x:v>-0.1098130665362772</x:v>
      </x:c>
      <x:c r="F156" s="32" t="n">
        <x:v>18125</x:v>
      </x:c>
      <x:c r="G156" s="32" t="n">
        <x:v>949</x:v>
      </x:c>
      <x:c r="H156" s="32" t="n">
        <x:v>343.18</x:v>
      </x:c>
      <x:c r="I156" s="32" t="n">
        <x:v>852.03</x:v>
      </x:c>
      <x:c r="J156" s="32" t="n">
        <x:v>1218.87</x:v>
      </x:c>
      <x:c r="K156" t="str">
        <x:v>Fallback dummy; replace by vnstock</x:v>
      </x:c>
    </x:row>
    <x:row r="157">
      <x:c r="A157" s="30" t="n">
        <x:v>45873</x:v>
      </x:c>
      <x:c r="B157" s="32" t="n">
        <x:v>1175</x:v>
      </x:c>
      <x:c r="C157" s="34" t="n">
        <x:f>IFERROR(B157/B156-1,0)</x:f>
        <x:v>-0.007073020272611141</x:v>
      </x:c>
      <x:c r="D157" s="34" t="n">
        <x:f>IFERROR(STDEV.S(C138:C157)*SQRT(252),0)</x:f>
        <x:v>0.1222393502213127</x:v>
      </x:c>
      <x:c r="E157" s="34" t="n">
        <x:f>IFERROR(B157/MAX($B$4:B157)-1,0)</x:f>
        <x:v>-0.11610937676307964</x:v>
      </x:c>
      <x:c r="F157" s="32" t="n">
        <x:v>17865</x:v>
      </x:c>
      <x:c r="G157" s="32" t="n">
        <x:v>-688</x:v>
      </x:c>
      <x:c r="H157" s="32" t="n">
        <x:v>340.75</x:v>
      </x:c>
      <x:c r="I157" s="32" t="n">
        <x:v>846</x:v>
      </x:c>
      <x:c r="J157" s="32" t="n">
        <x:v>1210.25</x:v>
      </x:c>
      <x:c r="K157" t="str">
        <x:v>Fallback dummy; replace by vnstock</x:v>
      </x:c>
    </x:row>
    <x:row r="158">
      <x:c r="A158" s="30" t="n">
        <x:v>45874</x:v>
      </x:c>
      <x:c r="B158" s="32" t="n">
        <x:v>1177.11</x:v>
      </x:c>
      <x:c r="C158" s="34" t="n">
        <x:f>IFERROR(B158/B157-1,0)</x:f>
        <x:v>0.0017957446808509747</x:v>
      </x:c>
      <x:c r="D158" s="34" t="n">
        <x:f>IFERROR(STDEV.S(C139:C158)*SQRT(252),0)</x:f>
        <x:v>0.12214284218408587</x:v>
      </x:c>
      <x:c r="E158" s="34" t="n">
        <x:f>IFERROR(B158/MAX($B$4:B158)-1,0)</x:f>
        <x:v>-0.11452213487794793</x:v>
      </x:c>
      <x:c r="F158" s="32" t="n">
        <x:v>21113</x:v>
      </x:c>
      <x:c r="G158" s="32" t="n">
        <x:v>-1684</x:v>
      </x:c>
      <x:c r="H158" s="32" t="n">
        <x:v>341.36</x:v>
      </x:c>
      <x:c r="I158" s="32" t="n">
        <x:v>847.52</x:v>
      </x:c>
      <x:c r="J158" s="32" t="n">
        <x:v>1212.42</x:v>
      </x:c>
      <x:c r="K158" t="str">
        <x:v>Fallback dummy; replace by vnstock</x:v>
      </x:c>
    </x:row>
    <x:row r="159">
      <x:c r="A159" s="30" t="n">
        <x:v>45875</x:v>
      </x:c>
      <x:c r="B159" s="32" t="n">
        <x:v>1186.64</x:v>
      </x:c>
      <x:c r="C159" s="34" t="n">
        <x:f>IFERROR(B159/B158-1,0)</x:f>
        <x:v>0.008096099769775211</x:v>
      </x:c>
      <x:c r="D159" s="34" t="n">
        <x:f>IFERROR(STDEV.S(C140:C159)*SQRT(252),0)</x:f>
        <x:v>0.12082395290181942</x:v>
      </x:c>
      <x:c r="E159" s="34" t="n">
        <x:f>IFERROR(B159/MAX($B$4:B159)-1,0)</x:f>
        <x:v>-0.10735321773799211</x:v>
      </x:c>
      <x:c r="F159" s="32" t="n">
        <x:v>15532</x:v>
      </x:c>
      <x:c r="G159" s="32" t="n">
        <x:v>-632</x:v>
      </x:c>
      <x:c r="H159" s="32" t="n">
        <x:v>344.13</x:v>
      </x:c>
      <x:c r="I159" s="32" t="n">
        <x:v>854.38</x:v>
      </x:c>
      <x:c r="J159" s="32" t="n">
        <x:v>1222.24</x:v>
      </x:c>
      <x:c r="K159" t="str">
        <x:v>Fallback dummy; replace by vnstock</x:v>
      </x:c>
    </x:row>
    <x:row r="160">
      <x:c r="A160" s="30" t="n">
        <x:v>45876</x:v>
      </x:c>
      <x:c r="B160" s="32" t="n">
        <x:v>1184.79</x:v>
      </x:c>
      <x:c r="C160" s="34" t="n">
        <x:f>IFERROR(B160/B159-1,0)</x:f>
        <x:v>-0.001559023798287762</x:v>
      </x:c>
      <x:c r="D160" s="34" t="n">
        <x:f>IFERROR(STDEV.S(C141:C160)*SQRT(252),0)</x:f>
        <x:v>0.11811595842089988</x:v>
      </x:c>
      <x:c r="E160" s="34" t="n">
        <x:f>IFERROR(B160/MAX($B$4:B160)-1,0)</x:f>
        <x:v>-0.10874487531500354</x:v>
      </x:c>
      <x:c r="F160" s="32" t="n">
        <x:v>16326</x:v>
      </x:c>
      <x:c r="G160" s="32" t="n">
        <x:v>-241</x:v>
      </x:c>
      <x:c r="H160" s="32" t="n">
        <x:v>343.59</x:v>
      </x:c>
      <x:c r="I160" s="32" t="n">
        <x:v>853.05</x:v>
      </x:c>
      <x:c r="J160" s="32" t="n">
        <x:v>1220.33</x:v>
      </x:c>
      <x:c r="K160" t="str">
        <x:v>Fallback dummy; replace by vnstock</x:v>
      </x:c>
    </x:row>
    <x:row r="161">
      <x:c r="A161" s="30" t="n">
        <x:v>45877</x:v>
      </x:c>
      <x:c r="B161" s="32" t="n">
        <x:v>1165.87</x:v>
      </x:c>
      <x:c r="C161" s="34" t="n">
        <x:f>IFERROR(B161/B160-1,0)</x:f>
        <x:v>-0.01596907468834141</x:v>
      </x:c>
      <x:c r="D161" s="34" t="n">
        <x:f>IFERROR(STDEV.S(C142:C161)*SQRT(252),0)</x:f>
        <x:v>0.12901701750101885</x:v>
      </x:c>
      <x:c r="E161" s="34" t="n">
        <x:f>IFERROR(B161/MAX($B$4:B161)-1,0)</x:f>
        <x:v>-0.12297739496746529</x:v>
      </x:c>
      <x:c r="F161" s="32" t="n">
        <x:v>18377</x:v>
      </x:c>
      <x:c r="G161" s="32" t="n">
        <x:v>380</x:v>
      </x:c>
      <x:c r="H161" s="32" t="n">
        <x:v>338.1</x:v>
      </x:c>
      <x:c r="I161" s="32" t="n">
        <x:v>839.43</x:v>
      </x:c>
      <x:c r="J161" s="32" t="n">
        <x:v>1200.85</x:v>
      </x:c>
      <x:c r="K161" t="str">
        <x:v>Fallback dummy; replace by vnstock</x:v>
      </x:c>
    </x:row>
    <x:row r="162">
      <x:c r="A162" s="30" t="n">
        <x:v>45880</x:v>
      </x:c>
      <x:c r="B162" s="32" t="n">
        <x:v>1175.77</x:v>
      </x:c>
      <x:c r="C162" s="34" t="n">
        <x:f>IFERROR(B162/B161-1,0)</x:f>
        <x:v>0.008491512775867127</x:v>
      </x:c>
      <x:c r="D162" s="34" t="n">
        <x:f>IFERROR(STDEV.S(C143:C162)*SQRT(252),0)</x:f>
        <x:v>0.13436918764827388</x:v>
      </x:c>
      <x:c r="E162" s="34" t="n">
        <x:f>IFERROR(B162/MAX($B$4:B162)-1,0)</x:f>
        <x:v>-0.11553014631210734</x:v>
      </x:c>
      <x:c r="F162" s="32" t="n">
        <x:v>15498</x:v>
      </x:c>
      <x:c r="G162" s="32" t="n">
        <x:v>-420</x:v>
      </x:c>
      <x:c r="H162" s="32" t="n">
        <x:v>340.97</x:v>
      </x:c>
      <x:c r="I162" s="32" t="n">
        <x:v>846.56</x:v>
      </x:c>
      <x:c r="J162" s="32" t="n">
        <x:v>1211.05</x:v>
      </x:c>
      <x:c r="K162" t="str">
        <x:v>Fallback dummy; replace by vnstock</x:v>
      </x:c>
    </x:row>
    <x:row r="163">
      <x:c r="A163" s="30" t="n">
        <x:v>45881</x:v>
      </x:c>
      <x:c r="B163" s="32" t="n">
        <x:v>1165.2</x:v>
      </x:c>
      <x:c r="C163" s="34" t="n">
        <x:f>IFERROR(B163/B162-1,0)</x:f>
        <x:v>-0.008989853457734065</x:v>
      </x:c>
      <x:c r="D163" s="34" t="n">
        <x:f>IFERROR(STDEV.S(C144:C163)*SQRT(252),0)</x:f>
        <x:v>0.11193108778322014</x:v>
      </x:c>
      <x:c r="E163" s="34" t="n">
        <x:f>IFERROR(B163/MAX($B$4:B163)-1,0)</x:f>
        <x:v>-0.12348140068454494</x:v>
      </x:c>
      <x:c r="F163" s="32" t="n">
        <x:v>26474</x:v>
      </x:c>
      <x:c r="G163" s="32" t="n">
        <x:v>-1601</x:v>
      </x:c>
      <x:c r="H163" s="32" t="n">
        <x:v>337.91</x:v>
      </x:c>
      <x:c r="I163" s="32" t="n">
        <x:v>838.94</x:v>
      </x:c>
      <x:c r="J163" s="32" t="n">
        <x:v>1200.16</x:v>
      </x:c>
      <x:c r="K163" t="str">
        <x:v>Fallback dummy; replace by vnstock</x:v>
      </x:c>
    </x:row>
    <x:row r="164">
      <x:c r="A164" s="30" t="n">
        <x:v>45882</x:v>
      </x:c>
      <x:c r="B164" s="32" t="n">
        <x:v>1169.73</x:v>
      </x:c>
      <x:c r="C164" s="34" t="n">
        <x:f>IFERROR(B164/B163-1,0)</x:f>
        <x:v>0.0038877445932028465</x:v>
      </x:c>
      <x:c r="D164" s="34" t="n">
        <x:f>IFERROR(STDEV.S(C145:C164)*SQRT(252),0)</x:f>
        <x:v>0.10983325133495198</x:v>
      </x:c>
      <x:c r="E164" s="34" t="n">
        <x:f>IFERROR(B164/MAX($B$4:B164)-1,0)</x:f>
        <x:v>-0.12007372023921459</x:v>
      </x:c>
      <x:c r="F164" s="32" t="n">
        <x:v>15504</x:v>
      </x:c>
      <x:c r="G164" s="32" t="n">
        <x:v>-368</x:v>
      </x:c>
      <x:c r="H164" s="32" t="n">
        <x:v>339.22</x:v>
      </x:c>
      <x:c r="I164" s="32" t="n">
        <x:v>842.2</x:v>
      </x:c>
      <x:c r="J164" s="32" t="n">
        <x:v>1204.82</x:v>
      </x:c>
      <x:c r="K164" t="str">
        <x:v>Fallback dummy; replace by vnstock</x:v>
      </x:c>
    </x:row>
    <x:row r="165">
      <x:c r="A165" s="30" t="n">
        <x:v>45883</x:v>
      </x:c>
      <x:c r="B165" s="32" t="n">
        <x:v>1161.93</x:v>
      </x:c>
      <x:c r="C165" s="34" t="n">
        <x:f>IFERROR(B165/B164-1,0)</x:f>
        <x:v>-0.006668205483316592</x:v>
      </x:c>
      <x:c r="D165" s="34" t="n">
        <x:f>IFERROR(STDEV.S(C146:C165)*SQRT(252),0)</x:f>
        <x:v>0.10768202353923194</x:v>
      </x:c>
      <x:c r="E165" s="34" t="n">
        <x:f>IFERROR(B165/MAX($B$4:B165)-1,0)</x:f>
        <x:v>-0.1259412494828298</x:v>
      </x:c>
      <x:c r="F165" s="32" t="n">
        <x:v>18396</x:v>
      </x:c>
      <x:c r="G165" s="32" t="n">
        <x:v>1089</x:v>
      </x:c>
      <x:c r="H165" s="32" t="n">
        <x:v>336.96</x:v>
      </x:c>
      <x:c r="I165" s="32" t="n">
        <x:v>836.59</x:v>
      </x:c>
      <x:c r="J165" s="32" t="n">
        <x:v>1196.79</x:v>
      </x:c>
      <x:c r="K165" t="str">
        <x:v>Fallback dummy; replace by vnstock</x:v>
      </x:c>
    </x:row>
    <x:row r="166">
      <x:c r="A166" s="30" t="n">
        <x:v>45884</x:v>
      </x:c>
      <x:c r="B166" s="32" t="n">
        <x:v>1167.75</x:v>
      </x:c>
      <x:c r="C166" s="34" t="n">
        <x:f>IFERROR(B166/B165-1,0)</x:f>
        <x:v>0.005008907593400558</x:v>
      </x:c>
      <x:c r="D166" s="34" t="n">
        <x:f>IFERROR(STDEV.S(C147:C166)*SQRT(252),0)</x:f>
        <x:v>0.10709582498068022</x:v>
      </x:c>
      <x:c r="E166" s="34" t="n">
        <x:f>IFERROR(B166/MAX($B$4:B166)-1,0)</x:f>
        <x:v>-0.12156316997028616</x:v>
      </x:c>
      <x:c r="F166" s="32" t="n">
        <x:v>18636</x:v>
      </x:c>
      <x:c r="G166" s="32" t="n">
        <x:v>-183</x:v>
      </x:c>
      <x:c r="H166" s="32" t="n">
        <x:v>338.65</x:v>
      </x:c>
      <x:c r="I166" s="32" t="n">
        <x:v>840.78</x:v>
      </x:c>
      <x:c r="J166" s="32" t="n">
        <x:v>1202.79</x:v>
      </x:c>
      <x:c r="K166" t="str">
        <x:v>Fallback dummy; replace by vnstock</x:v>
      </x:c>
    </x:row>
    <x:row r="167">
      <x:c r="A167" s="30" t="n">
        <x:v>45887</x:v>
      </x:c>
      <x:c r="B167" s="32" t="n">
        <x:v>1170.51</x:v>
      </x:c>
      <x:c r="C167" s="34" t="n">
        <x:f>IFERROR(B167/B166-1,0)</x:f>
        <x:v>0.002363519588953089</x:v>
      </x:c>
      <x:c r="D167" s="34" t="n">
        <x:f>IFERROR(STDEV.S(C148:C167)*SQRT(252),0)</x:f>
        <x:v>0.10267687619837185</x:v>
      </x:c>
      <x:c r="E167" s="34" t="n">
        <x:f>IFERROR(B167/MAX($B$4:B167)-1,0)</x:f>
        <x:v>-0.11948696731485309</x:v>
      </x:c>
      <x:c r="F167" s="32" t="n">
        <x:v>24784</x:v>
      </x:c>
      <x:c r="G167" s="32" t="n">
        <x:v>-183</x:v>
      </x:c>
      <x:c r="H167" s="32" t="n">
        <x:v>339.45</x:v>
      </x:c>
      <x:c r="I167" s="32" t="n">
        <x:v>842.76</x:v>
      </x:c>
      <x:c r="J167" s="32" t="n">
        <x:v>1205.62</x:v>
      </x:c>
      <x:c r="K167" t="str">
        <x:v>Fallback dummy; replace by vnstock</x:v>
      </x:c>
    </x:row>
    <x:row r="168">
      <x:c r="A168" s="30" t="n">
        <x:v>45888</x:v>
      </x:c>
      <x:c r="B168" s="32" t="n">
        <x:v>1179.75</x:v>
      </x:c>
      <x:c r="C168" s="34" t="n">
        <x:f>IFERROR(B168/B167-1,0)</x:f>
        <x:v>0.007893994925288972</x:v>
      </x:c>
      <x:c r="D168" s="34" t="n">
        <x:f>IFERROR(STDEV.S(C149:C168)*SQRT(252),0)</x:f>
        <x:v>0.1039409731158741</x:v>
      </x:c>
      <x:c r="E168" s="34" t="n">
        <x:f>IFERROR(B168/MAX($B$4:B168)-1,0)</x:f>
        <x:v>-0.1125362019031857</x:v>
      </x:c>
      <x:c r="F168" s="32" t="n">
        <x:v>15891</x:v>
      </x:c>
      <x:c r="G168" s="32" t="n">
        <x:v>-588</x:v>
      </x:c>
      <x:c r="H168" s="32" t="n">
        <x:v>342.13</x:v>
      </x:c>
      <x:c r="I168" s="32" t="n">
        <x:v>849.42</x:v>
      </x:c>
      <x:c r="J168" s="32" t="n">
        <x:v>1215.14</x:v>
      </x:c>
      <x:c r="K168" t="str">
        <x:v>Fallback dummy; replace by vnstock</x:v>
      </x:c>
    </x:row>
    <x:row r="169">
      <x:c r="A169" s="30" t="n">
        <x:v>45889</x:v>
      </x:c>
      <x:c r="B169" s="32" t="n">
        <x:v>1176.19</x:v>
      </x:c>
      <x:c r="C169" s="34" t="n">
        <x:f>IFERROR(B169/B168-1,0)</x:f>
        <x:v>-0.0030175884721338475</x:v>
      </x:c>
      <x:c r="D169" s="34" t="n">
        <x:f>IFERROR(STDEV.S(C150:C169)*SQRT(252),0)</x:f>
        <x:v>0.10269377155197447</x:v>
      </x:c>
      <x:c r="E169" s="34" t="n">
        <x:f>IFERROR(B169/MAX($B$4:B169)-1,0)</x:f>
        <x:v>-0.11521420242975877</x:v>
      </x:c>
      <x:c r="F169" s="32" t="n">
        <x:v>26429</x:v>
      </x:c>
      <x:c r="G169" s="32" t="n">
        <x:v>-1479</x:v>
      </x:c>
      <x:c r="H169" s="32" t="n">
        <x:v>341.1</x:v>
      </x:c>
      <x:c r="I169" s="32" t="n">
        <x:v>846.86</x:v>
      </x:c>
      <x:c r="J169" s="32" t="n">
        <x:v>1211.48</x:v>
      </x:c>
      <x:c r="K169" t="str">
        <x:v>Fallback dummy; replace by vnstock</x:v>
      </x:c>
    </x:row>
    <x:row r="170">
      <x:c r="A170" s="30" t="n">
        <x:v>45890</x:v>
      </x:c>
      <x:c r="B170" s="32" t="n">
        <x:v>1191.66</x:v>
      </x:c>
      <x:c r="C170" s="34" t="n">
        <x:f>IFERROR(B170/B169-1,0)</x:f>
        <x:v>0.013152636903901671</x:v>
      </x:c>
      <x:c r="D170" s="34" t="n">
        <x:f>IFERROR(STDEV.S(C151:C170)*SQRT(252),0)</x:f>
        <x:v>0.11320149291539408</x:v>
      </x:c>
      <x:c r="E170" s="34" t="n">
        <x:f>IFERROR(B170/MAX($B$4:B170)-1,0)</x:f>
        <x:v>-0.10357693609658847</x:v>
      </x:c>
      <x:c r="F170" s="32" t="n">
        <x:v>21868</x:v>
      </x:c>
      <x:c r="G170" s="32" t="n">
        <x:v>-987</x:v>
      </x:c>
      <x:c r="H170" s="32" t="n">
        <x:v>345.58</x:v>
      </x:c>
      <x:c r="I170" s="32" t="n">
        <x:v>858</x:v>
      </x:c>
      <x:c r="J170" s="32" t="n">
        <x:v>1227.41</x:v>
      </x:c>
      <x:c r="K170" t="str">
        <x:v>Fallback dummy; replace by vnstock</x:v>
      </x:c>
    </x:row>
    <x:row r="171">
      <x:c r="A171" s="30" t="n">
        <x:v>45891</x:v>
      </x:c>
      <x:c r="B171" s="32" t="n">
        <x:v>1198.57</x:v>
      </x:c>
      <x:c r="C171" s="34" t="n">
        <x:f>IFERROR(B171/B170-1,0)</x:f>
        <x:v>0.005798633838510758</x:v>
      </x:c>
      <x:c r="D171" s="34" t="n">
        <x:f>IFERROR(STDEV.S(C152:C171)*SQRT(252),0)</x:f>
        <x:v>0.11042266439236399</x:v>
      </x:c>
      <x:c r="E171" s="34" t="n">
        <x:f>IFERROR(B171/MAX($B$4:B171)-1,0)</x:f>
        <x:v>-0.09837890698461649</x:v>
      </x:c>
      <x:c r="F171" s="32" t="n">
        <x:v>27825</x:v>
      </x:c>
      <x:c r="G171" s="32" t="n">
        <x:v>298</x:v>
      </x:c>
      <x:c r="H171" s="32" t="n">
        <x:v>347.59</x:v>
      </x:c>
      <x:c r="I171" s="32" t="n">
        <x:v>862.97</x:v>
      </x:c>
      <x:c r="J171" s="32" t="n">
        <x:v>1234.53</x:v>
      </x:c>
      <x:c r="K171" t="str">
        <x:v>Fallback dummy; replace by vnstock</x:v>
      </x:c>
    </x:row>
    <x:row r="172">
      <x:c r="A172" s="30" t="n">
        <x:v>45894</x:v>
      </x:c>
      <x:c r="B172" s="32" t="n">
        <x:v>1184.97</x:v>
      </x:c>
      <x:c r="C172" s="34" t="n">
        <x:f>IFERROR(B172/B171-1,0)</x:f>
        <x:v>-0.011346855002210887</x:v>
      </x:c>
      <x:c r="D172" s="34" t="n">
        <x:f>IFERROR(STDEV.S(C153:C172)*SQRT(252),0)</x:f>
        <x:v>0.11818605982069688</x:v>
      </x:c>
      <x:c r="E172" s="34" t="n">
        <x:f>IFERROR(B172/MAX($B$4:B172)-1,0)</x:f>
        <x:v>-0.10860947079399697</x:v>
      </x:c>
      <x:c r="F172" s="32" t="n">
        <x:v>20510</x:v>
      </x:c>
      <x:c r="G172" s="32" t="n">
        <x:v>900</x:v>
      </x:c>
      <x:c r="H172" s="32" t="n">
        <x:v>343.64</x:v>
      </x:c>
      <x:c r="I172" s="32" t="n">
        <x:v>853.18</x:v>
      </x:c>
      <x:c r="J172" s="32" t="n">
        <x:v>1220.52</x:v>
      </x:c>
      <x:c r="K172" t="str">
        <x:v>Fallback dummy; replace by vnstock</x:v>
      </x:c>
    </x:row>
    <x:row r="173">
      <x:c r="A173" s="30" t="n">
        <x:v>45895</x:v>
      </x:c>
      <x:c r="B173" s="32" t="n">
        <x:v>1189.92</x:v>
      </x:c>
      <x:c r="C173" s="34" t="n">
        <x:f>IFERROR(B173/B172-1,0)</x:f>
        <x:v>0.00417732094483414</x:v>
      </x:c>
      <x:c r="D173" s="34" t="n">
        <x:f>IFERROR(STDEV.S(C154:C173)*SQRT(252),0)</x:f>
        <x:v>0.11866823589922322</x:v>
      </x:c>
      <x:c r="E173" s="34" t="n">
        <x:f>IFERROR(B173/MAX($B$4:B173)-1,0)</x:f>
        <x:v>-0.10488584646631804</x:v>
      </x:c>
      <x:c r="F173" s="32" t="n">
        <x:v>16889</x:v>
      </x:c>
      <x:c r="G173" s="32" t="n">
        <x:v>950</x:v>
      </x:c>
      <x:c r="H173" s="32" t="n">
        <x:v>345.08</x:v>
      </x:c>
      <x:c r="I173" s="32" t="n">
        <x:v>856.74</x:v>
      </x:c>
      <x:c r="J173" s="32" t="n">
        <x:v>1225.62</x:v>
      </x:c>
      <x:c r="K173" t="str">
        <x:v>Fallback dummy; replace by vnstock</x:v>
      </x:c>
    </x:row>
    <x:row r="174">
      <x:c r="A174" s="30" t="n">
        <x:v>45896</x:v>
      </x:c>
      <x:c r="B174" s="32" t="n">
        <x:v>1186.64</x:v>
      </x:c>
      <x:c r="C174" s="34" t="n">
        <x:f>IFERROR(B174/B173-1,0)</x:f>
        <x:v>-0.0027564878311147067</x:v>
      </x:c>
      <x:c r="D174" s="34" t="n">
        <x:f>IFERROR(STDEV.S(C155:C174)*SQRT(252),0)</x:f>
        <x:v>0.11857051087459507</x:v>
      </x:c>
      <x:c r="E174" s="34" t="n">
        <x:f>IFERROR(B174/MAX($B$4:B174)-1,0)</x:f>
        <x:v>-0.10735321773799211</x:v>
      </x:c>
      <x:c r="F174" s="32" t="n">
        <x:v>27825</x:v>
      </x:c>
      <x:c r="G174" s="32" t="n">
        <x:v>-152</x:v>
      </x:c>
      <x:c r="H174" s="32" t="n">
        <x:v>344.12</x:v>
      </x:c>
      <x:c r="I174" s="32" t="n">
        <x:v>854.38</x:v>
      </x:c>
      <x:c r="J174" s="32" t="n">
        <x:v>1222.24</x:v>
      </x:c>
      <x:c r="K174" t="str">
        <x:v>Fallback dummy; replace by vnstock</x:v>
      </x:c>
    </x:row>
    <x:row r="175">
      <x:c r="A175" s="30" t="n">
        <x:v>45897</x:v>
      </x:c>
      <x:c r="B175" s="32" t="n">
        <x:v>1203.05</x:v>
      </x:c>
      <x:c r="C175" s="34" t="n">
        <x:f>IFERROR(B175/B174-1,0)</x:f>
        <x:v>0.013828962448594329</x:v>
      </x:c>
      <x:c r="D175" s="34" t="n">
        <x:f>IFERROR(STDEV.S(C156:C175)*SQRT(252),0)</x:f>
        <x:v>0.12785209237065945</x:v>
      </x:c>
      <x:c r="E175" s="34" t="n">
        <x:f>IFERROR(B175/MAX($B$4:B175)-1,0)</x:f>
        <x:v>-0.09500883890623235</x:v>
      </x:c>
      <x:c r="F175" s="32" t="n">
        <x:v>16626</x:v>
      </x:c>
      <x:c r="G175" s="32" t="n">
        <x:v>1105</x:v>
      </x:c>
      <x:c r="H175" s="32" t="n">
        <x:v>348.88</x:v>
      </x:c>
      <x:c r="I175" s="32" t="n">
        <x:v>866.19</x:v>
      </x:c>
      <x:c r="J175" s="32" t="n">
        <x:v>1239.14</x:v>
      </x:c>
      <x:c r="K175" t="str">
        <x:v>Fallback dummy; replace by vnstock</x:v>
      </x:c>
    </x:row>
    <x:row r="176">
      <x:c r="A176" s="30" t="n">
        <x:v>45898</x:v>
      </x:c>
      <x:c r="B176" s="32" t="n">
        <x:v>1194.64</x:v>
      </x:c>
      <x:c r="C176" s="34" t="n">
        <x:f>IFERROR(B176/B175-1,0)</x:f>
        <x:v>-0.006990565645650482</x:v>
      </x:c>
      <x:c r="D176" s="34" t="n">
        <x:f>IFERROR(STDEV.S(C157:C176)*SQRT(252),0)</x:f>
        <x:v>0.13061234872747424</x:v>
      </x:c>
      <x:c r="E176" s="34" t="n">
        <x:f>IFERROR(B176/MAX($B$4:B176)-1,0)</x:f>
        <x:v>-0.1013352390265918</x:v>
      </x:c>
      <x:c r="F176" s="32" t="n">
        <x:v>12572</x:v>
      </x:c>
      <x:c r="G176" s="32" t="n">
        <x:v>-459</x:v>
      </x:c>
      <x:c r="H176" s="32" t="n">
        <x:v>346.45</x:v>
      </x:c>
      <x:c r="I176" s="32" t="n">
        <x:v>860.14</x:v>
      </x:c>
      <x:c r="J176" s="32" t="n">
        <x:v>1230.48</x:v>
      </x:c>
      <x:c r="K176" t="str">
        <x:v>Fallback dummy; replace by vnstock</x:v>
      </x:c>
    </x:row>
    <x:row r="177">
      <x:c r="A177" s="30" t="n">
        <x:v>45901</x:v>
      </x:c>
      <x:c r="B177" s="32" t="n">
        <x:v>1199.21</x:v>
      </x:c>
      <x:c r="C177" s="34" t="n">
        <x:f>IFERROR(B177/B176-1,0)</x:f>
        <x:v>0.0038254202102725454</x:v>
      </x:c>
      <x:c r="D177" s="34" t="n">
        <x:f>IFERROR(STDEV.S(C158:C177)*SQRT(252),0)</x:f>
        <x:v>0.12792591291505837</x:v>
      </x:c>
      <x:c r="E177" s="34" t="n">
        <x:f>IFERROR(B177/MAX($B$4:B177)-1,0)</x:f>
        <x:v>-0.09789746868770444</x:v>
      </x:c>
      <x:c r="F177" s="32" t="n">
        <x:v>23140</x:v>
      </x:c>
      <x:c r="G177" s="32" t="n">
        <x:v>227</x:v>
      </x:c>
      <x:c r="H177" s="32" t="n">
        <x:v>347.77</x:v>
      </x:c>
      <x:c r="I177" s="32" t="n">
        <x:v>863.43</x:v>
      </x:c>
      <x:c r="J177" s="32" t="n">
        <x:v>1235.18</x:v>
      </x:c>
      <x:c r="K177" t="str">
        <x:v>Fallback dummy; replace by vnstock</x:v>
      </x:c>
    </x:row>
    <x:row r="178">
      <x:c r="A178" s="30" t="n">
        <x:v>45902</x:v>
      </x:c>
      <x:c r="B178" s="32" t="n">
        <x:v>1207.14</x:v>
      </x:c>
      <x:c r="C178" s="34" t="n">
        <x:f>IFERROR(B178/B177-1,0)</x:f>
        <x:v>0.00661268668540127</x:v>
      </x:c>
      <x:c r="D178" s="34" t="n">
        <x:f>IFERROR(STDEV.S(C159:C178)*SQRT(252),0)</x:f>
        <x:v>0.1294315967564902</x:v>
      </x:c>
      <x:c r="E178" s="34" t="n">
        <x:f>IFERROR(B178/MAX($B$4:B178)-1,0)</x:f>
        <x:v>-0.09193214729002885</x:v>
      </x:c>
      <x:c r="F178" s="32" t="n">
        <x:v>16027</x:v>
      </x:c>
      <x:c r="G178" s="32" t="n">
        <x:v>-320</x:v>
      </x:c>
      <x:c r="H178" s="32" t="n">
        <x:v>350.07</x:v>
      </x:c>
      <x:c r="I178" s="32" t="n">
        <x:v>869.14</x:v>
      </x:c>
      <x:c r="J178" s="32" t="n">
        <x:v>1243.36</x:v>
      </x:c>
      <x:c r="K178" t="str">
        <x:v>Fallback dummy; replace by vnstock</x:v>
      </x:c>
    </x:row>
    <x:row r="179">
      <x:c r="A179" s="30" t="n">
        <x:v>45903</x:v>
      </x:c>
      <x:c r="B179" s="32" t="n">
        <x:v>1196.04</x:v>
      </x:c>
      <x:c r="C179" s="34" t="n">
        <x:f>IFERROR(B179/B178-1,0)</x:f>
        <x:v>-0.009195288036184857</x:v>
      </x:c>
      <x:c r="D179" s="34" t="n">
        <x:f>IFERROR(STDEV.S(C160:C179)*SQRT(252),0)</x:f>
        <x:v>0.1319050828849819</x:v>
      </x:c>
      <x:c r="E179" s="34" t="n">
        <x:f>IFERROR(B179/MAX($B$4:B179)-1,0)</x:f>
        <x:v>-0.10028209275209687</x:v>
      </x:c>
      <x:c r="F179" s="32" t="n">
        <x:v>19567</x:v>
      </x:c>
      <x:c r="G179" s="32" t="n">
        <x:v>-644</x:v>
      </x:c>
      <x:c r="H179" s="32" t="n">
        <x:v>346.85</x:v>
      </x:c>
      <x:c r="I179" s="32" t="n">
        <x:v>861.15</x:v>
      </x:c>
      <x:c r="J179" s="32" t="n">
        <x:v>1231.92</x:v>
      </x:c>
      <x:c r="K179" t="str">
        <x:v>Fallback dummy; replace by vnstock</x:v>
      </x:c>
    </x:row>
    <x:row r="180">
      <x:c r="A180" s="30" t="n">
        <x:v>45904</x:v>
      </x:c>
      <x:c r="B180" s="32" t="n">
        <x:v>1196.94</x:v>
      </x:c>
      <x:c r="C180" s="34" t="n">
        <x:f>IFERROR(B180/B179-1,0)</x:f>
        <x:v>0.0007524831945420196</x:v>
      </x:c>
      <x:c r="D180" s="34" t="n">
        <x:f>IFERROR(STDEV.S(C161:C180)*SQRT(252),0)</x:f>
        <x:v>0.13169841756987563</x:v>
      </x:c>
      <x:c r="E180" s="34" t="n">
        <x:f>IFERROR(B180/MAX($B$4:B180)-1,0)</x:f>
        <x:v>-0.09960507014706421</x:v>
      </x:c>
      <x:c r="F180" s="32" t="n">
        <x:v>24948</x:v>
      </x:c>
      <x:c r="G180" s="32" t="n">
        <x:v>78</x:v>
      </x:c>
      <x:c r="H180" s="32" t="n">
        <x:v>347.11</x:v>
      </x:c>
      <x:c r="I180" s="32" t="n">
        <x:v>861.8</x:v>
      </x:c>
      <x:c r="J180" s="32" t="n">
        <x:v>1232.85</x:v>
      </x:c>
      <x:c r="K180" t="str">
        <x:v>Fallback dummy; replace by vnstock</x:v>
      </x:c>
    </x:row>
    <x:row r="181">
      <x:c r="A181" s="30" t="n">
        <x:v>45905</x:v>
      </x:c>
      <x:c r="B181" s="32" t="n">
        <x:v>1178.52</x:v>
      </x:c>
      <x:c r="C181" s="34" t="n">
        <x:f>IFERROR(B181/B180-1,0)</x:f>
        <x:v>-0.015389242568549899</x:v>
      </x:c>
      <x:c r="D181" s="34" t="n">
        <x:f>IFERROR(STDEV.S(C162:C181)*SQRT(252),0)</x:f>
        <x:v>0.13074685605376926</x:v>
      </x:c>
      <x:c r="E181" s="34" t="n">
        <x:f>IFERROR(B181/MAX($B$4:B181)-1,0)</x:f>
        <x:v>-0.11346146613006347</x:v>
      </x:c>
      <x:c r="F181" s="32" t="n">
        <x:v>19822</x:v>
      </x:c>
      <x:c r="G181" s="32" t="n">
        <x:v>-491</x:v>
      </x:c>
      <x:c r="H181" s="32" t="n">
        <x:v>341.77</x:v>
      </x:c>
      <x:c r="I181" s="32" t="n">
        <x:v>848.54</x:v>
      </x:c>
      <x:c r="J181" s="32" t="n">
        <x:v>1213.88</x:v>
      </x:c>
      <x:c r="K181" t="str">
        <x:v>Fallback dummy; replace by vnstock</x:v>
      </x:c>
    </x:row>
    <x:row r="182">
      <x:c r="A182" s="30" t="n">
        <x:v>45908</x:v>
      </x:c>
      <x:c r="B182" s="32" t="n">
        <x:v>1184.11</x:v>
      </x:c>
      <x:c r="C182" s="34" t="n">
        <x:f>IFERROR(B182/B181-1,0)</x:f>
        <x:v>0.004743237280657064</x:v>
      </x:c>
      <x:c r="D182" s="34" t="n">
        <x:f>IFERROR(STDEV.S(C163:C182)*SQRT(252),0)</x:f>
        <x:v>0.12839136573964963</x:v>
      </x:c>
      <x:c r="E182" s="34" t="n">
        <x:f>IFERROR(B182/MAX($B$4:B182)-1,0)</x:f>
        <x:v>-0.10925640350547261</x:v>
      </x:c>
      <x:c r="F182" s="32" t="n">
        <x:v>21418</x:v>
      </x:c>
      <x:c r="G182" s="32" t="n">
        <x:v>-833</x:v>
      </x:c>
      <x:c r="H182" s="32" t="n">
        <x:v>343.39</x:v>
      </x:c>
      <x:c r="I182" s="32" t="n">
        <x:v>852.56</x:v>
      </x:c>
      <x:c r="J182" s="32" t="n">
        <x:v>1219.63</x:v>
      </x:c>
      <x:c r="K182" t="str">
        <x:v>Fallback dummy; replace by vnstock</x:v>
      </x:c>
    </x:row>
    <x:row r="183">
      <x:c r="A183" s="30" t="n">
        <x:v>45909</x:v>
      </x:c>
      <x:c r="B183" s="32" t="n">
        <x:v>1191.93</x:v>
      </x:c>
      <x:c r="C183" s="34" t="n">
        <x:f>IFERROR(B183/B182-1,0)</x:f>
        <x:v>0.006604116171639696</x:v>
      </x:c>
      <x:c r="D183" s="34" t="n">
        <x:f>IFERROR(STDEV.S(C164:C183)*SQRT(252),0)</x:f>
        <x:v>0.12518215439847497</x:v>
      </x:c>
      <x:c r="E183" s="34" t="n">
        <x:f>IFERROR(B183/MAX($B$4:B183)-1,0)</x:f>
        <x:v>-0.10337382931507866</x:v>
      </x:c>
      <x:c r="F183" s="32" t="n">
        <x:v>17928</x:v>
      </x:c>
      <x:c r="G183" s="32" t="n">
        <x:v>-351</x:v>
      </x:c>
      <x:c r="H183" s="32" t="n">
        <x:v>345.66</x:v>
      </x:c>
      <x:c r="I183" s="32" t="n">
        <x:v>858.19</x:v>
      </x:c>
      <x:c r="J183" s="32" t="n">
        <x:v>1227.69</x:v>
      </x:c>
      <x:c r="K183" t="str">
        <x:v>Fallback dummy; replace by vnstock</x:v>
      </x:c>
    </x:row>
    <x:row r="184">
      <x:c r="A184" s="30" t="n">
        <x:v>45910</x:v>
      </x:c>
      <x:c r="B184" s="32" t="n">
        <x:v>1189.11</x:v>
      </x:c>
      <x:c r="C184" s="34" t="n">
        <x:f>IFERROR(B184/B183-1,0)</x:f>
        <x:v>-0.0023659107497925325</x:v>
      </x:c>
      <x:c r="D184" s="34" t="n">
        <x:f>IFERROR(STDEV.S(C165:C184)*SQRT(252),0)</x:f>
        <x:v>0.12534571364666086</x:v>
      </x:c>
      <x:c r="E184" s="34" t="n">
        <x:f>IFERROR(B184/MAX($B$4:B184)-1,0)</x:f>
        <x:v>-0.10549516681084747</x:v>
      </x:c>
      <x:c r="F184" s="32" t="n">
        <x:v>26462</x:v>
      </x:c>
      <x:c r="G184" s="32" t="n">
        <x:v>-825</x:v>
      </x:c>
      <x:c r="H184" s="32" t="n">
        <x:v>344.84</x:v>
      </x:c>
      <x:c r="I184" s="32" t="n">
        <x:v>856.16</x:v>
      </x:c>
      <x:c r="J184" s="32" t="n">
        <x:v>1224.79</x:v>
      </x:c>
      <x:c r="K184" t="str">
        <x:v>Fallback dummy; replace by vnstock</x:v>
      </x:c>
    </x:row>
    <x:row r="185">
      <x:c r="A185" s="30" t="n">
        <x:v>45911</x:v>
      </x:c>
      <x:c r="B185" s="32" t="n">
        <x:v>1186.1</x:v>
      </x:c>
      <x:c r="C185" s="34" t="n">
        <x:f>IFERROR(B185/B184-1,0)</x:f>
        <x:v>-0.0025313049255325515</x:v>
      </x:c>
      <x:c r="D185" s="34" t="n">
        <x:f>IFERROR(STDEV.S(C166:C185)*SQRT(252),0)</x:f>
        <x:v>0.12289013797988714</x:v>
      </x:c>
      <x:c r="E185" s="34" t="n">
        <x:f>IFERROR(B185/MAX($B$4:B185)-1,0)</x:f>
        <x:v>-0.10775943130101173</x:v>
      </x:c>
      <x:c r="F185" s="32" t="n">
        <x:v>20120</x:v>
      </x:c>
      <x:c r="G185" s="32" t="n">
        <x:v>-1037</x:v>
      </x:c>
      <x:c r="H185" s="32" t="n">
        <x:v>343.97</x:v>
      </x:c>
      <x:c r="I185" s="32" t="n">
        <x:v>853.99</x:v>
      </x:c>
      <x:c r="J185" s="32" t="n">
        <x:v>1221.68</x:v>
      </x:c>
      <x:c r="K185" t="str">
        <x:v>Fallback dummy; replace by vnstock</x:v>
      </x:c>
    </x:row>
    <x:row r="186">
      <x:c r="A186" s="30" t="n">
        <x:v>45912</x:v>
      </x:c>
      <x:c r="B186" s="32" t="n">
        <x:v>1172.34</x:v>
      </x:c>
      <x:c r="C186" s="34" t="n">
        <x:f>IFERROR(B186/B185-1,0)</x:f>
        <x:v>-0.01160104544304863</x:v>
      </x:c>
      <x:c r="D186" s="34" t="n">
        <x:f>IFERROR(STDEV.S(C167:C186)*SQRT(252),0)</x:f>
        <x:v>0.12975987314482618</x:v>
      </x:c>
      <x:c r="E186" s="34" t="n">
        <x:f>IFERROR(B186/MAX($B$4:B186)-1,0)</x:f>
        <x:v>-0.11811035468462028</x:v>
      </x:c>
      <x:c r="F186" s="32" t="n">
        <x:v>16043</x:v>
      </x:c>
      <x:c r="G186" s="32" t="n">
        <x:v>680</x:v>
      </x:c>
      <x:c r="H186" s="32" t="n">
        <x:v>339.98</x:v>
      </x:c>
      <x:c r="I186" s="32" t="n">
        <x:v>844.09</x:v>
      </x:c>
      <x:c r="J186" s="32" t="n">
        <x:v>1207.51</x:v>
      </x:c>
      <x:c r="K186" t="str">
        <x:v>Fallback dummy; replace by vnstock</x:v>
      </x:c>
    </x:row>
    <x:row r="187">
      <x:c r="A187" s="30" t="n">
        <x:v>45915</x:v>
      </x:c>
      <x:c r="B187" s="32" t="n">
        <x:v>1173.59</x:v>
      </x:c>
      <x:c r="C187" s="34" t="n">
        <x:f>IFERROR(B187/B186-1,0)</x:f>
        <x:v>0.001066243581213655</x:v>
      </x:c>
      <x:c r="D187" s="34" t="n">
        <x:f>IFERROR(STDEV.S(C168:C187)*SQRT(252),0)</x:f>
        <x:v>0.12955824920834053</x:v>
      </x:c>
      <x:c r="E187" s="34" t="n">
        <x:f>IFERROR(B187/MAX($B$4:B187)-1,0)</x:f>
        <x:v>-0.117170045510964</x:v>
      </x:c>
      <x:c r="F187" s="32" t="n">
        <x:v>16332</x:v>
      </x:c>
      <x:c r="G187" s="32" t="n">
        <x:v>-1386</x:v>
      </x:c>
      <x:c r="H187" s="32" t="n">
        <x:v>340.34</x:v>
      </x:c>
      <x:c r="I187" s="32" t="n">
        <x:v>844.99</x:v>
      </x:c>
      <x:c r="J187" s="32" t="n">
        <x:v>1208.8</x:v>
      </x:c>
      <x:c r="K187" t="str">
        <x:v>Fallback dummy; replace by vnstock</x:v>
      </x:c>
    </x:row>
    <x:row r="188">
      <x:c r="A188" s="30" t="n">
        <x:v>45916</x:v>
      </x:c>
      <x:c r="B188" s="32" t="n">
        <x:v>1167.82</x:v>
      </x:c>
      <x:c r="C188" s="34" t="n">
        <x:f>IFERROR(B188/B187-1,0)</x:f>
        <x:v>-0.0049165381436446776</x:v>
      </x:c>
      <x:c r="D188" s="34" t="n">
        <x:f>IFERROR(STDEV.S(C169:C188)*SQRT(252),0)</x:f>
        <x:v>0.12738143430868293</x:v>
      </x:c>
      <x:c r="E188" s="34" t="n">
        <x:f>IFERROR(B188/MAX($B$4:B188)-1,0)</x:f>
        <x:v>-0.12151051265656143</x:v>
      </x:c>
      <x:c r="F188" s="32" t="n">
        <x:v>12369</x:v>
      </x:c>
      <x:c r="G188" s="32" t="n">
        <x:v>-1325</x:v>
      </x:c>
      <x:c r="H188" s="32" t="n">
        <x:v>338.67</x:v>
      </x:c>
      <x:c r="I188" s="32" t="n">
        <x:v>840.83</x:v>
      </x:c>
      <x:c r="J188" s="32" t="n">
        <x:v>1202.86</x:v>
      </x:c>
      <x:c r="K188" t="str">
        <x:v>Fallback dummy; replace by vnstock</x:v>
      </x:c>
    </x:row>
    <x:row r="189">
      <x:c r="A189" s="30" t="n">
        <x:v>45917</x:v>
      </x:c>
      <x:c r="B189" s="32" t="n">
        <x:v>1179.38</x:v>
      </x:c>
      <x:c r="C189" s="34" t="n">
        <x:f>IFERROR(B189/B188-1,0)</x:f>
        <x:v>0.00989878577178005</x:v>
      </x:c>
      <x:c r="D189" s="34" t="n">
        <x:f>IFERROR(STDEV.S(C170:C189)*SQRT(252),0)</x:f>
        <x:v>0.1321280123133161</x:v>
      </x:c>
      <x:c r="E189" s="34" t="n">
        <x:f>IFERROR(B189/MAX($B$4:B189)-1,0)</x:f>
        <x:v>-0.11281453341858794</x:v>
      </x:c>
      <x:c r="F189" s="32" t="n">
        <x:v>26788</x:v>
      </x:c>
      <x:c r="G189" s="32" t="n">
        <x:v>-405</x:v>
      </x:c>
      <x:c r="H189" s="32" t="n">
        <x:v>342.02</x:v>
      </x:c>
      <x:c r="I189" s="32" t="n">
        <x:v>849.15</x:v>
      </x:c>
      <x:c r="J189" s="32" t="n">
        <x:v>1214.76</x:v>
      </x:c>
      <x:c r="K189" t="str">
        <x:v>Fallback dummy; replace by vnstock</x:v>
      </x:c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1cea222174b045e8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6.590000152587891" hidden="0" customWidth="1"/>
    <x:col min="2" max="2" width="13.319999694824219" hidden="0" customWidth="1"/>
    <x:col min="3" max="3" width="4.849999904632568" hidden="0" customWidth="1"/>
    <x:col min="4" max="4" width="9.020000457763672" hidden="0" customWidth="1"/>
    <x:col min="5" max="5" width="20.729999542236328" hidden="0" customWidth="1"/>
    <x:col min="6" max="6" width="18.030000686645508" hidden="0" customWidth="1"/>
    <x:col min="7" max="7" width="13.0600004196167" hidden="0" customWidth="1"/>
    <x:col min="8" max="8" width="10.5" hidden="0" customWidth="1"/>
    <x:col min="9" max="9" width="14.800000190734863" hidden="0" customWidth="1"/>
    <x:col min="10" max="10" width="13.859999656677246" hidden="0" customWidth="1"/>
    <x:col min="11" max="11" width="11.170000076293945" hidden="0" customWidth="1"/>
    <x:col min="12" max="12" width="38.900001525878906" hidden="0" customWidth="1"/>
  </x:cols>
  <x:sheetData>
    <x:row r="1">
      <x:c r="A1" s="70" t="str">
        <x:v>Margin Book Input and Risk Engine</x:v>
      </x:c>
      <x:c r="B1" s="10"/>
      <x:c r="C1" s="10"/>
      <x:c r="D1" s="10"/>
      <x:c r="E1" s="10"/>
      <x:c r="F1" s="10"/>
      <x:c r="G1" s="10"/>
      <x:c r="H1" s="10"/>
      <x:c r="I1" s="10"/>
      <x:c r="J1" s="10"/>
      <x:c r="K1" s="10"/>
      <x:c r="L1" s="10"/>
      <x:c r="M1" s="10"/>
      <x:c r="N1" s="10"/>
      <x:c r="O1" s="10"/>
      <x:c r="P1" s="10"/>
      <x:c r="Q1" s="10"/>
      <x:c r="R1" s="10"/>
      <x:c r="S1" s="10"/>
      <x:c r="T1" s="10"/>
      <x:c r="U1" s="10"/>
      <x:c r="V1" s="10"/>
      <x:c r="W1" s="10"/>
      <x:c r="X1" s="10"/>
      <x:c r="Y1" s="10"/>
      <x:c r="Z1" s="10"/>
    </x:row>
    <x:row r="3">
      <x:c r="A3" s="20" t="str">
        <x:v>Account</x:v>
      </x:c>
      <x:c r="B3" s="20" t="str">
        <x:v>Customer Group</x:v>
      </x:c>
      <x:c r="C3" s="20" t="str">
        <x:v>Ticker</x:v>
      </x:c>
      <x:c r="D3" s="20" t="str">
        <x:v>Sector</x:v>
      </x:c>
      <x:c r="E3" s="20" t="str">
        <x:v>Collateral Value (VND bn)</x:v>
      </x:c>
      <x:c r="F3" s="20" t="str">
        <x:v>Margin Loan (VND bn)</x:v>
      </x:c>
      <x:c r="G3" s="20" t="str">
        <x:v>Equity (VND bn)</x:v>
      </x:c>
      <x:c r="H3" s="20" t="str">
        <x:v>Margin Ratio</x:v>
      </x:c>
      <x:c r="I3" s="20" t="str">
        <x:v>Maintenance Req.</x:v>
      </x:c>
      <x:c r="J3" s="20" t="str">
        <x:v>Excess / Shortfall</x:v>
      </x:c>
      <x:c r="K3" s="20" t="str">
        <x:v>Status</x:v>
      </x:c>
      <x:c r="L3" s="20" t="str">
        <x:v>Notes</x:v>
      </x:c>
      <x:c r="N3" s="20" t="str">
        <x:v>Metric</x:v>
      </x:c>
      <x:c r="O3" s="20" t="str">
        <x:v>Value</x:v>
      </x:c>
    </x:row>
    <x:row r="4">
      <x:c r="A4" t="str">
        <x:v>ACC001</x:v>
      </x:c>
      <x:c r="B4" t="str">
        <x:v>Group 06</x:v>
      </x:c>
      <x:c r="C4" t="str">
        <x:v>VND</x:v>
      </x:c>
      <x:c r="D4" t="str">
        <x:v>Securities</x:v>
      </x:c>
      <x:c r="E4" s="32" t="n">
        <x:v>107.7</x:v>
      </x:c>
      <x:c r="F4" s="32" t="n">
        <x:v>58.4</x:v>
      </x:c>
      <x:c r="G4" s="32" t="n">
        <x:f>E4-F4</x:f>
        <x:v>49.300000000000004</x:v>
      </x:c>
      <x:c r="H4" s="34" t="n">
        <x:f>IFERROR(G4/E4,0)</x:f>
        <x:v>0.45775301764159704</x:v>
      </x:c>
      <x:c r="I4" s="47" t="n">
        <x:v>0.35</x:v>
      </x:c>
      <x:c r="J4" s="34" t="n">
        <x:f>H4-I4</x:f>
        <x:v>0.10775301764159706</x:v>
      </x:c>
      <x:c r="K4" t="str">
        <x:f>IF(H4&lt;I4,"FORCED SELL",IF(H4&lt;I4+5%,"MARGIN CALL","OK"))</x:f>
        <x:v>OK</x:v>
      </x:c>
      <x:c r="L4" t="str">
        <x:v>Dummy input; replace with internal margin book</x:v>
      </x:c>
      <x:c r="N4" s="7" t="str">
        <x:v>Total Collateral</x:v>
      </x:c>
      <x:c r="O4" s="32" t="n">
        <x:f>SUM(E4:E103)</x:f>
        <x:v>6200.399999999997</x:v>
      </x:c>
    </x:row>
    <x:row r="5">
      <x:c r="A5" t="str">
        <x:v>ACC002</x:v>
      </x:c>
      <x:c r="B5" t="str">
        <x:v>Group 19</x:v>
      </x:c>
      <x:c r="C5" t="str">
        <x:v>HDB</x:v>
      </x:c>
      <x:c r="D5" t="str">
        <x:v>Real Estate</x:v>
      </x:c>
      <x:c r="E5" s="32" t="n">
        <x:v>80.2</x:v>
      </x:c>
      <x:c r="F5" s="32" t="n">
        <x:v>25.6</x:v>
      </x:c>
      <x:c r="G5" s="32" t="n">
        <x:f>E5-F5</x:f>
        <x:v>54.6</x:v>
      </x:c>
      <x:c r="H5" s="34" t="n">
        <x:f>IFERROR(G5/E5,0)</x:f>
        <x:v>0.6807980049875312</x:v>
      </x:c>
      <x:c r="I5" s="47" t="n">
        <x:v>0.35</x:v>
      </x:c>
      <x:c r="J5" s="34" t="n">
        <x:f>H5-I5</x:f>
        <x:v>0.3307980049875312</x:v>
      </x:c>
      <x:c r="K5" t="str">
        <x:f>IF(H5&lt;I5,"FORCED SELL",IF(H5&lt;I5+5%,"MARGIN CALL","OK"))</x:f>
        <x:v>OK</x:v>
      </x:c>
      <x:c r="L5" t="str">
        <x:v>Dummy input; replace with internal margin book</x:v>
      </x:c>
      <x:c r="N5" s="7" t="str">
        <x:v>Total Margin Loan</x:v>
      </x:c>
      <x:c r="O5" s="32" t="n">
        <x:f>SUM(F4:F103)</x:f>
        <x:v>2750.1999999999985</x:v>
      </x:c>
    </x:row>
    <x:row r="6">
      <x:c r="A6" t="str">
        <x:v>ACC003</x:v>
      </x:c>
      <x:c r="B6" t="str">
        <x:v>Group 12</x:v>
      </x:c>
      <x:c r="C6" t="str">
        <x:v>VHM</x:v>
      </x:c>
      <x:c r="D6" t="str">
        <x:v>Energy</x:v>
      </x:c>
      <x:c r="E6" s="32" t="n">
        <x:v>116.1</x:v>
      </x:c>
      <x:c r="F6" s="32" t="n">
        <x:v>56.7</x:v>
      </x:c>
      <x:c r="G6" s="32" t="n">
        <x:f>E6-F6</x:f>
        <x:v>59.39999999999999</x:v>
      </x:c>
      <x:c r="H6" s="34" t="n">
        <x:f>IFERROR(G6/E6,0)</x:f>
        <x:v>0.5116279069767441</x:v>
      </x:c>
      <x:c r="I6" s="47" t="n">
        <x:v>0.35</x:v>
      </x:c>
      <x:c r="J6" s="34" t="n">
        <x:f>H6-I6</x:f>
        <x:v>0.16162790697674412</x:v>
      </x:c>
      <x:c r="K6" t="str">
        <x:f>IF(H6&lt;I6,"FORCED SELL",IF(H6&lt;I6+5%,"MARGIN CALL","OK"))</x:f>
        <x:v>OK</x:v>
      </x:c>
      <x:c r="L6" t="str">
        <x:v>Dummy input; replace with internal margin book</x:v>
      </x:c>
      <x:c r="N6" s="7" t="str">
        <x:v>Average Margin Ratio</x:v>
      </x:c>
      <x:c r="O6" s="34" t="n">
        <x:f>AVERAGE(H4:H103)</x:f>
        <x:v>0.5623207717552776</x:v>
      </x:c>
    </x:row>
    <x:row r="7">
      <x:c r="A7" t="str">
        <x:v>ACC004</x:v>
      </x:c>
      <x:c r="B7" t="str">
        <x:v>Group 12</x:v>
      </x:c>
      <x:c r="C7" t="str">
        <x:v>MSN</x:v>
      </x:c>
      <x:c r="D7" t="str">
        <x:v>Technology</x:v>
      </x:c>
      <x:c r="E7" s="32" t="n">
        <x:v>114.6</x:v>
      </x:c>
      <x:c r="F7" s="32" t="n">
        <x:v>36.6</x:v>
      </x:c>
      <x:c r="G7" s="32" t="n">
        <x:f>E7-F7</x:f>
        <x:v>78</x:v>
      </x:c>
      <x:c r="H7" s="34" t="n">
        <x:f>IFERROR(G7/E7,0)</x:f>
        <x:v>0.680628272251309</x:v>
      </x:c>
      <x:c r="I7" s="47" t="n">
        <x:v>0.35</x:v>
      </x:c>
      <x:c r="J7" s="34" t="n">
        <x:f>H7-I7</x:f>
        <x:v>0.330628272251309</x:v>
      </x:c>
      <x:c r="K7" t="str">
        <x:f>IF(H7&lt;I7,"FORCED SELL",IF(H7&lt;I7+5%,"MARGIN CALL","OK"))</x:f>
        <x:v>OK</x:v>
      </x:c>
      <x:c r="L7" t="str">
        <x:v>Dummy input; replace with internal margin book</x:v>
      </x:c>
      <x:c r="N7" s="7" t="str">
        <x:v>Top 10 Exposure Concentration</x:v>
      </x:c>
      <x:c r="O7" s="34" t="n">
        <x:f>SUM(LARGE(F4:F103,1),LARGE(F4:F103,2),LARGE(F4:F103,3),LARGE(F4:F103,4),LARGE(F4:F103,5),LARGE(F4:F103,6),LARGE(F4:F103,7),LARGE(F4:F103,8),LARGE(F4:F103,9),LARGE(F4:F103,10))/SUM(F4:F103)</x:f>
        <x:v>0.22623809177514373</x:v>
      </x:c>
    </x:row>
    <x:row r="8">
      <x:c r="A8" t="str">
        <x:v>ACC005</x:v>
      </x:c>
      <x:c r="B8" t="str">
        <x:v>Group 08</x:v>
      </x:c>
      <x:c r="C8" t="str">
        <x:v>VND</x:v>
      </x:c>
      <x:c r="D8" t="str">
        <x:v>Steel</x:v>
      </x:c>
      <x:c r="E8" s="32" t="n">
        <x:v>19.2</x:v>
      </x:c>
      <x:c r="F8" s="32" t="n">
        <x:v>7.2</x:v>
      </x:c>
      <x:c r="G8" s="32" t="n">
        <x:f>E8-F8</x:f>
        <x:v>12</x:v>
      </x:c>
      <x:c r="H8" s="34" t="n">
        <x:f>IFERROR(G8/E8,0)</x:f>
        <x:v>0.625</x:v>
      </x:c>
      <x:c r="I8" s="47" t="n">
        <x:v>0.35</x:v>
      </x:c>
      <x:c r="J8" s="34" t="n">
        <x:f>H8-I8</x:f>
        <x:v>0.275</x:v>
      </x:c>
      <x:c r="K8" t="str">
        <x:f>IF(H8&lt;I8,"FORCED SELL",IF(H8&lt;I8+5%,"MARGIN CALL","OK"))</x:f>
        <x:v>OK</x:v>
      </x:c>
      <x:c r="L8" t="str">
        <x:v>Dummy input; replace with internal margin book</x:v>
      </x:c>
      <x:c r="N8" s="7" t="str">
        <x:v>Forced Sell Candidates</x:v>
      </x:c>
      <x:c r="O8" s="32" t="n">
        <x:f>COUNTIF(K4:K103,"FORCED SELL")</x:f>
        <x:v>0</x:v>
      </x:c>
    </x:row>
    <x:row r="9">
      <x:c r="A9" t="str">
        <x:v>ACC006</x:v>
      </x:c>
      <x:c r="B9" t="str">
        <x:v>Group 18</x:v>
      </x:c>
      <x:c r="C9" t="str">
        <x:v>DXG</x:v>
      </x:c>
      <x:c r="D9" t="str">
        <x:v>Banking</x:v>
      </x:c>
      <x:c r="E9" s="32" t="n">
        <x:v>100.4</x:v>
      </x:c>
      <x:c r="F9" s="32" t="n">
        <x:v>32.8</x:v>
      </x:c>
      <x:c r="G9" s="32" t="n">
        <x:f>E9-F9</x:f>
        <x:v>67.60000000000001</x:v>
      </x:c>
      <x:c r="H9" s="34" t="n">
        <x:f>IFERROR(G9/E9,0)</x:f>
        <x:v>0.6733067729083666</x:v>
      </x:c>
      <x:c r="I9" s="47" t="n">
        <x:v>0.35</x:v>
      </x:c>
      <x:c r="J9" s="34" t="n">
        <x:f>H9-I9</x:f>
        <x:v>0.3233067729083666</x:v>
      </x:c>
      <x:c r="K9" t="str">
        <x:f>IF(H9&lt;I9,"FORCED SELL",IF(H9&lt;I9+5%,"MARGIN CALL","OK"))</x:f>
        <x:v>OK</x:v>
      </x:c>
      <x:c r="L9" t="str">
        <x:v>Dummy input; replace with internal margin book</x:v>
      </x:c>
      <x:c r="N9" s="7" t="str">
        <x:v>Margin Call Candidates</x:v>
      </x:c>
      <x:c r="O9" s="32" t="n">
        <x:f>COUNTIF(K4:K103,"MARGIN CALL")</x:f>
        <x:v>10</x:v>
      </x:c>
    </x:row>
    <x:row r="10">
      <x:c r="A10" t="str">
        <x:v>ACC007</x:v>
      </x:c>
      <x:c r="B10" t="str">
        <x:v>Group 06</x:v>
      </x:c>
      <x:c r="C10" t="str">
        <x:v>MBB</x:v>
      </x:c>
      <x:c r="D10" t="str">
        <x:v>Real Estate</x:v>
      </x:c>
      <x:c r="E10" s="32" t="n">
        <x:v>5.9</x:v>
      </x:c>
      <x:c r="F10" s="32" t="n">
        <x:v>2</x:v>
      </x:c>
      <x:c r="G10" s="32" t="n">
        <x:f>E10-F10</x:f>
        <x:v>3.9000000000000004</x:v>
      </x:c>
      <x:c r="H10" s="34" t="n">
        <x:f>IFERROR(G10/E10,0)</x:f>
        <x:v>0.6610169491525424</x:v>
      </x:c>
      <x:c r="I10" s="47" t="n">
        <x:v>0.35</x:v>
      </x:c>
      <x:c r="J10" s="34" t="n">
        <x:f>H10-I10</x:f>
        <x:v>0.3110169491525424</x:v>
      </x:c>
      <x:c r="K10" t="str">
        <x:f>IF(H10&lt;I10,"FORCED SELL",IF(H10&lt;I10+5%,"MARGIN CALL","OK"))</x:f>
        <x:v>OK</x:v>
      </x:c>
      <x:c r="L10" t="str">
        <x:v>Dummy input; replace with internal margin book</x:v>
      </x:c>
    </x:row>
    <x:row r="11">
      <x:c r="A11" t="str">
        <x:v>ACC008</x:v>
      </x:c>
      <x:c r="B11" t="str">
        <x:v>Group 07</x:v>
      </x:c>
      <x:c r="C11" t="str">
        <x:v>MWG</x:v>
      </x:c>
      <x:c r="D11" t="str">
        <x:v>Banking</x:v>
      </x:c>
      <x:c r="E11" s="32" t="n">
        <x:v>70.9</x:v>
      </x:c>
      <x:c r="F11" s="32" t="n">
        <x:v>36.1</x:v>
      </x:c>
      <x:c r="G11" s="32" t="n">
        <x:f>E11-F11</x:f>
        <x:v>34.800000000000004</x:v>
      </x:c>
      <x:c r="H11" s="34" t="n">
        <x:f>IFERROR(G11/E11,0)</x:f>
        <x:v>0.4908321579689704</x:v>
      </x:c>
      <x:c r="I11" s="47" t="n">
        <x:v>0.35</x:v>
      </x:c>
      <x:c r="J11" s="34" t="n">
        <x:f>H11-I11</x:f>
        <x:v>0.14083215796897042</x:v>
      </x:c>
      <x:c r="K11" t="str">
        <x:f>IF(H11&lt;I11,"FORCED SELL",IF(H11&lt;I11+5%,"MARGIN CALL","OK"))</x:f>
        <x:v>OK</x:v>
      </x:c>
      <x:c r="L11" t="str">
        <x:v>Dummy input; replace with internal margin book</x:v>
      </x:c>
    </x:row>
    <x:row r="12">
      <x:c r="A12" t="str">
        <x:v>ACC009</x:v>
      </x:c>
      <x:c r="B12" t="str">
        <x:v>Group 02</x:v>
      </x:c>
      <x:c r="C12" t="str">
        <x:v>PDR</x:v>
      </x:c>
      <x:c r="D12" t="str">
        <x:v>Steel</x:v>
      </x:c>
      <x:c r="E12" s="32" t="n">
        <x:v>118.6</x:v>
      </x:c>
      <x:c r="F12" s="32" t="n">
        <x:v>71.8</x:v>
      </x:c>
      <x:c r="G12" s="32" t="n">
        <x:f>E12-F12</x:f>
        <x:v>46.8</x:v>
      </x:c>
      <x:c r="H12" s="34" t="n">
        <x:f>IFERROR(G12/E12,0)</x:f>
        <x:v>0.3946037099494098</x:v>
      </x:c>
      <x:c r="I12" s="47" t="n">
        <x:v>0.35</x:v>
      </x:c>
      <x:c r="J12" s="34" t="n">
        <x:f>H12-I12</x:f>
        <x:v>0.04460370994940982</x:v>
      </x:c>
      <x:c r="K12" t="str">
        <x:f>IF(H12&lt;I12,"FORCED SELL",IF(H12&lt;I12+5%,"MARGIN CALL","OK"))</x:f>
        <x:v>MARGIN CALL</x:v>
      </x:c>
      <x:c r="L12" t="str">
        <x:v>Dummy input; replace with internal margin book</x:v>
      </x:c>
    </x:row>
    <x:row r="13">
      <x:c r="A13" t="str">
        <x:v>ACC010</x:v>
      </x:c>
      <x:c r="B13" t="str">
        <x:v>Group 03</x:v>
      </x:c>
      <x:c r="C13" t="str">
        <x:v>VND</x:v>
      </x:c>
      <x:c r="D13" t="str">
        <x:v>Technology</x:v>
      </x:c>
      <x:c r="E13" s="32" t="n">
        <x:v>35.9</x:v>
      </x:c>
      <x:c r="F13" s="32" t="n">
        <x:v>15.5</x:v>
      </x:c>
      <x:c r="G13" s="32" t="n">
        <x:f>E13-F13</x:f>
        <x:v>20.4</x:v>
      </x:c>
      <x:c r="H13" s="34" t="n">
        <x:f>IFERROR(G13/E13,0)</x:f>
        <x:v>0.5682451253481894</x:v>
      </x:c>
      <x:c r="I13" s="47" t="n">
        <x:v>0.35</x:v>
      </x:c>
      <x:c r="J13" s="34" t="n">
        <x:f>H13-I13</x:f>
        <x:v>0.2182451253481894</x:v>
      </x:c>
      <x:c r="K13" t="str">
        <x:f>IF(H13&lt;I13,"FORCED SELL",IF(H13&lt;I13+5%,"MARGIN CALL","OK"))</x:f>
        <x:v>OK</x:v>
      </x:c>
      <x:c r="L13" t="str">
        <x:v>Dummy input; replace with internal margin book</x:v>
      </x:c>
    </x:row>
    <x:row r="14">
      <x:c r="A14" t="str">
        <x:v>ACC011</x:v>
      </x:c>
      <x:c r="B14" t="str">
        <x:v>Group 04</x:v>
      </x:c>
      <x:c r="C14" t="str">
        <x:v>HDB</x:v>
      </x:c>
      <x:c r="D14" t="str">
        <x:v>Steel</x:v>
      </x:c>
      <x:c r="E14" s="32" t="n">
        <x:v>107.7</x:v>
      </x:c>
      <x:c r="F14" s="32" t="n">
        <x:v>42.4</x:v>
      </x:c>
      <x:c r="G14" s="32" t="n">
        <x:f>E14-F14</x:f>
        <x:v>65.30000000000001</x:v>
      </x:c>
      <x:c r="H14" s="34" t="n">
        <x:f>IFERROR(G14/E14,0)</x:f>
        <x:v>0.6063138347260911</x:v>
      </x:c>
      <x:c r="I14" s="47" t="n">
        <x:v>0.35</x:v>
      </x:c>
      <x:c r="J14" s="34" t="n">
        <x:f>H14-I14</x:f>
        <x:v>0.25631383472609115</x:v>
      </x:c>
      <x:c r="K14" t="str">
        <x:f>IF(H14&lt;I14,"FORCED SELL",IF(H14&lt;I14+5%,"MARGIN CALL","OK"))</x:f>
        <x:v>OK</x:v>
      </x:c>
      <x:c r="L14" t="str">
        <x:v>Dummy input; replace with internal margin book</x:v>
      </x:c>
    </x:row>
    <x:row r="15">
      <x:c r="A15" t="str">
        <x:v>ACC012</x:v>
      </x:c>
      <x:c r="B15" t="str">
        <x:v>Group 07</x:v>
      </x:c>
      <x:c r="C15" t="str">
        <x:v>DXG</x:v>
      </x:c>
      <x:c r="D15" t="str">
        <x:v>Banking</x:v>
      </x:c>
      <x:c r="E15" s="32" t="n">
        <x:v>102.5</x:v>
      </x:c>
      <x:c r="F15" s="32" t="n">
        <x:v>46.9</x:v>
      </x:c>
      <x:c r="G15" s="32" t="n">
        <x:f>E15-F15</x:f>
        <x:v>55.6</x:v>
      </x:c>
      <x:c r="H15" s="34" t="n">
        <x:f>IFERROR(G15/E15,0)</x:f>
        <x:v>0.5424390243902439</x:v>
      </x:c>
      <x:c r="I15" s="47" t="n">
        <x:v>0.35</x:v>
      </x:c>
      <x:c r="J15" s="34" t="n">
        <x:f>H15-I15</x:f>
        <x:v>0.19243902439024396</x:v>
      </x:c>
      <x:c r="K15" t="str">
        <x:f>IF(H15&lt;I15,"FORCED SELL",IF(H15&lt;I15+5%,"MARGIN CALL","OK"))</x:f>
        <x:v>OK</x:v>
      </x:c>
      <x:c r="L15" t="str">
        <x:v>Dummy input; replace with internal margin book</x:v>
      </x:c>
    </x:row>
    <x:row r="16">
      <x:c r="A16" t="str">
        <x:v>ACC013</x:v>
      </x:c>
      <x:c r="B16" t="str">
        <x:v>Group 04</x:v>
      </x:c>
      <x:c r="C16" t="str">
        <x:v>GEX</x:v>
      </x:c>
      <x:c r="D16" t="str">
        <x:v>Industrial</x:v>
      </x:c>
      <x:c r="E16" s="32" t="n">
        <x:v>29.1</x:v>
      </x:c>
      <x:c r="F16" s="32" t="n">
        <x:v>13.7</x:v>
      </x:c>
      <x:c r="G16" s="32" t="n">
        <x:f>E16-F16</x:f>
        <x:v>15.400000000000002</x:v>
      </x:c>
      <x:c r="H16" s="34" t="n">
        <x:f>IFERROR(G16/E16,0)</x:f>
        <x:v>0.5292096219931272</x:v>
      </x:c>
      <x:c r="I16" s="47" t="n">
        <x:v>0.35</x:v>
      </x:c>
      <x:c r="J16" s="34" t="n">
        <x:f>H16-I16</x:f>
        <x:v>0.17920962199312718</x:v>
      </x:c>
      <x:c r="K16" t="str">
        <x:f>IF(H16&lt;I16,"FORCED SELL",IF(H16&lt;I16+5%,"MARGIN CALL","OK"))</x:f>
        <x:v>OK</x:v>
      </x:c>
      <x:c r="L16" t="str">
        <x:v>Dummy input; replace with internal margin book</x:v>
      </x:c>
    </x:row>
    <x:row r="17">
      <x:c r="A17" t="str">
        <x:v>ACC014</x:v>
      </x:c>
      <x:c r="B17" t="str">
        <x:v>Group 04</x:v>
      </x:c>
      <x:c r="C17" t="str">
        <x:v>TCB</x:v>
      </x:c>
      <x:c r="D17" t="str">
        <x:v>Real Estate</x:v>
      </x:c>
      <x:c r="E17" s="32" t="n">
        <x:v>25</x:v>
      </x:c>
      <x:c r="F17" s="32" t="n">
        <x:v>7</x:v>
      </x:c>
      <x:c r="G17" s="32" t="n">
        <x:f>E17-F17</x:f>
        <x:v>18</x:v>
      </x:c>
      <x:c r="H17" s="34" t="n">
        <x:f>IFERROR(G17/E17,0)</x:f>
        <x:v>0.72</x:v>
      </x:c>
      <x:c r="I17" s="47" t="n">
        <x:v>0.35</x:v>
      </x:c>
      <x:c r="J17" s="34" t="n">
        <x:f>H17-I17</x:f>
        <x:v>0.37</x:v>
      </x:c>
      <x:c r="K17" t="str">
        <x:f>IF(H17&lt;I17,"FORCED SELL",IF(H17&lt;I17+5%,"MARGIN CALL","OK"))</x:f>
        <x:v>OK</x:v>
      </x:c>
      <x:c r="L17" t="str">
        <x:v>Dummy input; replace with internal margin book</x:v>
      </x:c>
    </x:row>
    <x:row r="18">
      <x:c r="A18" t="str">
        <x:v>ACC015</x:v>
      </x:c>
      <x:c r="B18" t="str">
        <x:v>Group 18</x:v>
      </x:c>
      <x:c r="C18" t="str">
        <x:v>MWG</x:v>
      </x:c>
      <x:c r="D18" t="str">
        <x:v>Banking</x:v>
      </x:c>
      <x:c r="E18" s="32" t="n">
        <x:v>67</x:v>
      </x:c>
      <x:c r="F18" s="32" t="n">
        <x:v>20.6</x:v>
      </x:c>
      <x:c r="G18" s="32" t="n">
        <x:f>E18-F18</x:f>
        <x:v>46.4</x:v>
      </x:c>
      <x:c r="H18" s="34" t="n">
        <x:f>IFERROR(G18/E18,0)</x:f>
        <x:v>0.6925373134328358</x:v>
      </x:c>
      <x:c r="I18" s="47" t="n">
        <x:v>0.35</x:v>
      </x:c>
      <x:c r="J18" s="34" t="n">
        <x:f>H18-I18</x:f>
        <x:v>0.3425373134328358</x:v>
      </x:c>
      <x:c r="K18" t="str">
        <x:f>IF(H18&lt;I18,"FORCED SELL",IF(H18&lt;I18+5%,"MARGIN CALL","OK"))</x:f>
        <x:v>OK</x:v>
      </x:c>
      <x:c r="L18" t="str">
        <x:v>Dummy input; replace with internal margin book</x:v>
      </x:c>
    </x:row>
    <x:row r="19">
      <x:c r="A19" t="str">
        <x:v>ACC016</x:v>
      </x:c>
      <x:c r="B19" t="str">
        <x:v>Group 01</x:v>
      </x:c>
      <x:c r="C19" t="str">
        <x:v>GAS</x:v>
      </x:c>
      <x:c r="D19" t="str">
        <x:v>Technology</x:v>
      </x:c>
      <x:c r="E19" s="32" t="n">
        <x:v>115.6</x:v>
      </x:c>
      <x:c r="F19" s="32" t="n">
        <x:v>69.6</x:v>
      </x:c>
      <x:c r="G19" s="32" t="n">
        <x:f>E19-F19</x:f>
        <x:v>46</x:v>
      </x:c>
      <x:c r="H19" s="34" t="n">
        <x:f>IFERROR(G19/E19,0)</x:f>
        <x:v>0.397923875432526</x:v>
      </x:c>
      <x:c r="I19" s="47" t="n">
        <x:v>0.35</x:v>
      </x:c>
      <x:c r="J19" s="34" t="n">
        <x:f>H19-I19</x:f>
        <x:v>0.04792387543252602</x:v>
      </x:c>
      <x:c r="K19" t="str">
        <x:f>IF(H19&lt;I19,"FORCED SELL",IF(H19&lt;I19+5%,"MARGIN CALL","OK"))</x:f>
        <x:v>MARGIN CALL</x:v>
      </x:c>
      <x:c r="L19" t="str">
        <x:v>Dummy input; replace with internal margin book</x:v>
      </x:c>
    </x:row>
    <x:row r="20">
      <x:c r="A20" t="str">
        <x:v>ACC017</x:v>
      </x:c>
      <x:c r="B20" t="str">
        <x:v>Group 02</x:v>
      </x:c>
      <x:c r="C20" t="str">
        <x:v>PDR</x:v>
      </x:c>
      <x:c r="D20" t="str">
        <x:v>Energy</x:v>
      </x:c>
      <x:c r="E20" s="32" t="n">
        <x:v>96.6</x:v>
      </x:c>
      <x:c r="F20" s="32" t="n">
        <x:v>44.4</x:v>
      </x:c>
      <x:c r="G20" s="32" t="n">
        <x:f>E20-F20</x:f>
        <x:v>52.199999999999996</x:v>
      </x:c>
      <x:c r="H20" s="34" t="n">
        <x:f>IFERROR(G20/E20,0)</x:f>
        <x:v>0.5403726708074534</x:v>
      </x:c>
      <x:c r="I20" s="47" t="n">
        <x:v>0.35</x:v>
      </x:c>
      <x:c r="J20" s="34" t="n">
        <x:f>H20-I20</x:f>
        <x:v>0.19037267080745346</x:v>
      </x:c>
      <x:c r="K20" t="str">
        <x:f>IF(H20&lt;I20,"FORCED SELL",IF(H20&lt;I20+5%,"MARGIN CALL","OK"))</x:f>
        <x:v>OK</x:v>
      </x:c>
      <x:c r="L20" t="str">
        <x:v>Dummy input; replace with internal margin book</x:v>
      </x:c>
    </x:row>
    <x:row r="21">
      <x:c r="A21" t="str">
        <x:v>ACC018</x:v>
      </x:c>
      <x:c r="B21" t="str">
        <x:v>Group 11</x:v>
      </x:c>
      <x:c r="C21" t="str">
        <x:v>GAS</x:v>
      </x:c>
      <x:c r="D21" t="str">
        <x:v>Technology</x:v>
      </x:c>
      <x:c r="E21" s="32" t="n">
        <x:v>107.5</x:v>
      </x:c>
      <x:c r="F21" s="32" t="n">
        <x:v>52.3</x:v>
      </x:c>
      <x:c r="G21" s="32" t="n">
        <x:f>E21-F21</x:f>
        <x:v>55.2</x:v>
      </x:c>
      <x:c r="H21" s="34" t="n">
        <x:f>IFERROR(G21/E21,0)</x:f>
        <x:v>0.5134883720930233</x:v>
      </x:c>
      <x:c r="I21" s="47" t="n">
        <x:v>0.35</x:v>
      </x:c>
      <x:c r="J21" s="34" t="n">
        <x:f>H21-I21</x:f>
        <x:v>0.16348837209302336</x:v>
      </x:c>
      <x:c r="K21" t="str">
        <x:f>IF(H21&lt;I21,"FORCED SELL",IF(H21&lt;I21+5%,"MARGIN CALL","OK"))</x:f>
        <x:v>OK</x:v>
      </x:c>
      <x:c r="L21" t="str">
        <x:v>Dummy input; replace with internal margin book</x:v>
      </x:c>
    </x:row>
    <x:row r="22">
      <x:c r="A22" t="str">
        <x:v>ACC019</x:v>
      </x:c>
      <x:c r="B22" t="str">
        <x:v>Group 04</x:v>
      </x:c>
      <x:c r="C22" t="str">
        <x:v>VCB</x:v>
      </x:c>
      <x:c r="D22" t="str">
        <x:v>Securities</x:v>
      </x:c>
      <x:c r="E22" s="32" t="n">
        <x:v>112.9</x:v>
      </x:c>
      <x:c r="F22" s="32" t="n">
        <x:v>42.8</x:v>
      </x:c>
      <x:c r="G22" s="32" t="n">
        <x:f>E22-F22</x:f>
        <x:v>70.10000000000001</x:v>
      </x:c>
      <x:c r="H22" s="34" t="n">
        <x:f>IFERROR(G22/E22,0)</x:f>
        <x:v>0.6209034543844111</x:v>
      </x:c>
      <x:c r="I22" s="47" t="n">
        <x:v>0.35</x:v>
      </x:c>
      <x:c r="J22" s="34" t="n">
        <x:f>H22-I22</x:f>
        <x:v>0.2709034543844111</x:v>
      </x:c>
      <x:c r="K22" t="str">
        <x:f>IF(H22&lt;I22,"FORCED SELL",IF(H22&lt;I22+5%,"MARGIN CALL","OK"))</x:f>
        <x:v>OK</x:v>
      </x:c>
      <x:c r="L22" t="str">
        <x:v>Dummy input; replace with internal margin book</x:v>
      </x:c>
    </x:row>
    <x:row r="23">
      <x:c r="A23" t="str">
        <x:v>ACC020</x:v>
      </x:c>
      <x:c r="B23" t="str">
        <x:v>Group 13</x:v>
      </x:c>
      <x:c r="C23" t="str">
        <x:v>GAS</x:v>
      </x:c>
      <x:c r="D23" t="str">
        <x:v>Technology</x:v>
      </x:c>
      <x:c r="E23" s="32" t="n">
        <x:v>114.1</x:v>
      </x:c>
      <x:c r="F23" s="32" t="n">
        <x:v>34.4</x:v>
      </x:c>
      <x:c r="G23" s="32" t="n">
        <x:f>E23-F23</x:f>
        <x:v>79.69999999999999</x:v>
      </x:c>
      <x:c r="H23" s="34" t="n">
        <x:f>IFERROR(G23/E23,0)</x:f>
        <x:v>0.698510078878177</x:v>
      </x:c>
      <x:c r="I23" s="47" t="n">
        <x:v>0.35</x:v>
      </x:c>
      <x:c r="J23" s="34" t="n">
        <x:f>H23-I23</x:f>
        <x:v>0.348510078878177</x:v>
      </x:c>
      <x:c r="K23" t="str">
        <x:f>IF(H23&lt;I23,"FORCED SELL",IF(H23&lt;I23+5%,"MARGIN CALL","OK"))</x:f>
        <x:v>OK</x:v>
      </x:c>
      <x:c r="L23" t="str">
        <x:v>Dummy input; replace with internal margin book</x:v>
      </x:c>
    </x:row>
    <x:row r="24">
      <x:c r="A24" t="str">
        <x:v>ACC021</x:v>
      </x:c>
      <x:c r="B24" t="str">
        <x:v>Group 09</x:v>
      </x:c>
      <x:c r="C24" t="str">
        <x:v>GAS</x:v>
      </x:c>
      <x:c r="D24" t="str">
        <x:v>Industrial</x:v>
      </x:c>
      <x:c r="E24" s="32" t="n">
        <x:v>115</x:v>
      </x:c>
      <x:c r="F24" s="32" t="n">
        <x:v>30.9</x:v>
      </x:c>
      <x:c r="G24" s="32" t="n">
        <x:f>E24-F24</x:f>
        <x:v>84.1</x:v>
      </x:c>
      <x:c r="H24" s="34" t="n">
        <x:f>IFERROR(G24/E24,0)</x:f>
        <x:v>0.7313043478260869</x:v>
      </x:c>
      <x:c r="I24" s="47" t="n">
        <x:v>0.35</x:v>
      </x:c>
      <x:c r="J24" s="34" t="n">
        <x:f>H24-I24</x:f>
        <x:v>0.3813043478260869</x:v>
      </x:c>
      <x:c r="K24" t="str">
        <x:f>IF(H24&lt;I24,"FORCED SELL",IF(H24&lt;I24+5%,"MARGIN CALL","OK"))</x:f>
        <x:v>OK</x:v>
      </x:c>
      <x:c r="L24" t="str">
        <x:v>Dummy input; replace with internal margin book</x:v>
      </x:c>
    </x:row>
    <x:row r="25">
      <x:c r="A25" t="str">
        <x:v>ACC022</x:v>
      </x:c>
      <x:c r="B25" t="str">
        <x:v>Group 17</x:v>
      </x:c>
      <x:c r="C25" t="str">
        <x:v>VHM</x:v>
      </x:c>
      <x:c r="D25" t="str">
        <x:v>Industrial</x:v>
      </x:c>
      <x:c r="E25" s="32" t="n">
        <x:v>119.7</x:v>
      </x:c>
      <x:c r="F25" s="32" t="n">
        <x:v>40.3</x:v>
      </x:c>
      <x:c r="G25" s="32" t="n">
        <x:f>E25-F25</x:f>
        <x:v>79.4</x:v>
      </x:c>
      <x:c r="H25" s="34" t="n">
        <x:f>IFERROR(G25/E25,0)</x:f>
        <x:v>0.6633249791144529</x:v>
      </x:c>
      <x:c r="I25" s="47" t="n">
        <x:v>0.35</x:v>
      </x:c>
      <x:c r="J25" s="34" t="n">
        <x:f>H25-I25</x:f>
        <x:v>0.3133249791144529</x:v>
      </x:c>
      <x:c r="K25" t="str">
        <x:f>IF(H25&lt;I25,"FORCED SELL",IF(H25&lt;I25+5%,"MARGIN CALL","OK"))</x:f>
        <x:v>OK</x:v>
      </x:c>
      <x:c r="L25" t="str">
        <x:v>Dummy input; replace with internal margin book</x:v>
      </x:c>
    </x:row>
    <x:row r="26">
      <x:c r="A26" t="str">
        <x:v>ACC023</x:v>
      </x:c>
      <x:c r="B26" t="str">
        <x:v>Group 06</x:v>
      </x:c>
      <x:c r="C26" t="str">
        <x:v>DXG</x:v>
      </x:c>
      <x:c r="D26" t="str">
        <x:v>Real Estate</x:v>
      </x:c>
      <x:c r="E26" s="32" t="n">
        <x:v>27.1</x:v>
      </x:c>
      <x:c r="F26" s="32" t="n">
        <x:v>14.3</x:v>
      </x:c>
      <x:c r="G26" s="32" t="n">
        <x:f>E26-F26</x:f>
        <x:v>12.8</x:v>
      </x:c>
      <x:c r="H26" s="34" t="n">
        <x:f>IFERROR(G26/E26,0)</x:f>
        <x:v>0.47232472324723246</x:v>
      </x:c>
      <x:c r="I26" s="47" t="n">
        <x:v>0.35</x:v>
      </x:c>
      <x:c r="J26" s="34" t="n">
        <x:f>H26-I26</x:f>
        <x:v>0.12232472324723248</x:v>
      </x:c>
      <x:c r="K26" t="str">
        <x:f>IF(H26&lt;I26,"FORCED SELL",IF(H26&lt;I26+5%,"MARGIN CALL","OK"))</x:f>
        <x:v>OK</x:v>
      </x:c>
      <x:c r="L26" t="str">
        <x:v>Dummy input; replace with internal margin book</x:v>
      </x:c>
    </x:row>
    <x:row r="27">
      <x:c r="A27" t="str">
        <x:v>ACC024</x:v>
      </x:c>
      <x:c r="B27" t="str">
        <x:v>Group 11</x:v>
      </x:c>
      <x:c r="C27" t="str">
        <x:v>HPG</x:v>
      </x:c>
      <x:c r="D27" t="str">
        <x:v>Steel</x:v>
      </x:c>
      <x:c r="E27" s="32" t="n">
        <x:v>102</x:v>
      </x:c>
      <x:c r="F27" s="32" t="n">
        <x:v>60.9</x:v>
      </x:c>
      <x:c r="G27" s="32" t="n">
        <x:f>E27-F27</x:f>
        <x:v>41.1</x:v>
      </x:c>
      <x:c r="H27" s="34" t="n">
        <x:f>IFERROR(G27/E27,0)</x:f>
        <x:v>0.40294117647058825</x:v>
      </x:c>
      <x:c r="I27" s="47" t="n">
        <x:v>0.35</x:v>
      </x:c>
      <x:c r="J27" s="34" t="n">
        <x:f>H27-I27</x:f>
        <x:v>0.05294117647058827</x:v>
      </x:c>
      <x:c r="K27" t="str">
        <x:f>IF(H27&lt;I27,"FORCED SELL",IF(H27&lt;I27+5%,"MARGIN CALL","OK"))</x:f>
        <x:v>OK</x:v>
      </x:c>
      <x:c r="L27" t="str">
        <x:v>Dummy input; replace with internal margin book</x:v>
      </x:c>
    </x:row>
    <x:row r="28">
      <x:c r="A28" t="str">
        <x:v>ACC025</x:v>
      </x:c>
      <x:c r="B28" t="str">
        <x:v>Group 11</x:v>
      </x:c>
      <x:c r="C28" t="str">
        <x:v>MBB</x:v>
      </x:c>
      <x:c r="D28" t="str">
        <x:v>Steel</x:v>
      </x:c>
      <x:c r="E28" s="32" t="n">
        <x:v>19.8</x:v>
      </x:c>
      <x:c r="F28" s="32" t="n">
        <x:v>7.5</x:v>
      </x:c>
      <x:c r="G28" s="32" t="n">
        <x:f>E28-F28</x:f>
        <x:v>12.3</x:v>
      </x:c>
      <x:c r="H28" s="34" t="n">
        <x:f>IFERROR(G28/E28,0)</x:f>
        <x:v>0.6212121212121212</x:v>
      </x:c>
      <x:c r="I28" s="47" t="n">
        <x:v>0.35</x:v>
      </x:c>
      <x:c r="J28" s="34" t="n">
        <x:f>H28-I28</x:f>
        <x:v>0.27121212121212124</x:v>
      </x:c>
      <x:c r="K28" t="str">
        <x:f>IF(H28&lt;I28,"FORCED SELL",IF(H28&lt;I28+5%,"MARGIN CALL","OK"))</x:f>
        <x:v>OK</x:v>
      </x:c>
      <x:c r="L28" t="str">
        <x:v>Dummy input; replace with internal margin book</x:v>
      </x:c>
    </x:row>
    <x:row r="29">
      <x:c r="A29" t="str">
        <x:v>ACC026</x:v>
      </x:c>
      <x:c r="B29" t="str">
        <x:v>Group 04</x:v>
      </x:c>
      <x:c r="C29" t="str">
        <x:v>MSN</x:v>
      </x:c>
      <x:c r="D29" t="str">
        <x:v>Technology</x:v>
      </x:c>
      <x:c r="E29" s="32" t="n">
        <x:v>81.6</x:v>
      </x:c>
      <x:c r="F29" s="32" t="n">
        <x:v>50.9</x:v>
      </x:c>
      <x:c r="G29" s="32" t="n">
        <x:f>E29-F29</x:f>
        <x:v>30.699999999999996</x:v>
      </x:c>
      <x:c r="H29" s="34" t="n">
        <x:f>IFERROR(G29/E29,0)</x:f>
        <x:v>0.3762254901960784</x:v>
      </x:c>
      <x:c r="I29" s="47" t="n">
        <x:v>0.35</x:v>
      </x:c>
      <x:c r="J29" s="34" t="n">
        <x:f>H29-I29</x:f>
        <x:v>0.02622549019607845</x:v>
      </x:c>
      <x:c r="K29" t="str">
        <x:f>IF(H29&lt;I29,"FORCED SELL",IF(H29&lt;I29+5%,"MARGIN CALL","OK"))</x:f>
        <x:v>MARGIN CALL</x:v>
      </x:c>
      <x:c r="L29" t="str">
        <x:v>Dummy input; replace with internal margin book</x:v>
      </x:c>
    </x:row>
    <x:row r="30">
      <x:c r="A30" t="str">
        <x:v>ACC027</x:v>
      </x:c>
      <x:c r="B30" t="str">
        <x:v>Group 13</x:v>
      </x:c>
      <x:c r="C30" t="str">
        <x:v>DXG</x:v>
      </x:c>
      <x:c r="D30" t="str">
        <x:v>Technology</x:v>
      </x:c>
      <x:c r="E30" s="32" t="n">
        <x:v>66.8</x:v>
      </x:c>
      <x:c r="F30" s="32" t="n">
        <x:v>40.1</x:v>
      </x:c>
      <x:c r="G30" s="32" t="n">
        <x:f>E30-F30</x:f>
        <x:v>26.699999999999996</x:v>
      </x:c>
      <x:c r="H30" s="34" t="n">
        <x:f>IFERROR(G30/E30,0)</x:f>
        <x:v>0.39970059880239517</x:v>
      </x:c>
      <x:c r="I30" s="47" t="n">
        <x:v>0.35</x:v>
      </x:c>
      <x:c r="J30" s="34" t="n">
        <x:f>H30-I30</x:f>
        <x:v>0.04970059880239519</x:v>
      </x:c>
      <x:c r="K30" t="str">
        <x:f>IF(H30&lt;I30,"FORCED SELL",IF(H30&lt;I30+5%,"MARGIN CALL","OK"))</x:f>
        <x:v>MARGIN CALL</x:v>
      </x:c>
      <x:c r="L30" t="str">
        <x:v>Dummy input; replace with internal margin book</x:v>
      </x:c>
    </x:row>
    <x:row r="31">
      <x:c r="A31" t="str">
        <x:v>ACC028</x:v>
      </x:c>
      <x:c r="B31" t="str">
        <x:v>Group 07</x:v>
      </x:c>
      <x:c r="C31" t="str">
        <x:v>GEX</x:v>
      </x:c>
      <x:c r="D31" t="str">
        <x:v>Steel</x:v>
      </x:c>
      <x:c r="E31" s="32" t="n">
        <x:v>102.2</x:v>
      </x:c>
      <x:c r="F31" s="32" t="n">
        <x:v>41.6</x:v>
      </x:c>
      <x:c r="G31" s="32" t="n">
        <x:f>E31-F31</x:f>
        <x:v>60.6</x:v>
      </x:c>
      <x:c r="H31" s="34" t="n">
        <x:f>IFERROR(G31/E31,0)</x:f>
        <x:v>0.5929549902152642</x:v>
      </x:c>
      <x:c r="I31" s="47" t="n">
        <x:v>0.35</x:v>
      </x:c>
      <x:c r="J31" s="34" t="n">
        <x:f>H31-I31</x:f>
        <x:v>0.24295499021526423</x:v>
      </x:c>
      <x:c r="K31" t="str">
        <x:f>IF(H31&lt;I31,"FORCED SELL",IF(H31&lt;I31+5%,"MARGIN CALL","OK"))</x:f>
        <x:v>OK</x:v>
      </x:c>
      <x:c r="L31" t="str">
        <x:v>Dummy input; replace with internal margin book</x:v>
      </x:c>
    </x:row>
    <x:row r="32">
      <x:c r="A32" t="str">
        <x:v>ACC029</x:v>
      </x:c>
      <x:c r="B32" t="str">
        <x:v>Group 15</x:v>
      </x:c>
      <x:c r="C32" t="str">
        <x:v>MBB</x:v>
      </x:c>
      <x:c r="D32" t="str">
        <x:v>Technology</x:v>
      </x:c>
      <x:c r="E32" s="32" t="n">
        <x:v>85.5</x:v>
      </x:c>
      <x:c r="F32" s="32" t="n">
        <x:v>35.2</x:v>
      </x:c>
      <x:c r="G32" s="32" t="n">
        <x:f>E32-F32</x:f>
        <x:v>50.3</x:v>
      </x:c>
      <x:c r="H32" s="34" t="n">
        <x:f>IFERROR(G32/E32,0)</x:f>
        <x:v>0.5883040935672514</x:v>
      </x:c>
      <x:c r="I32" s="47" t="n">
        <x:v>0.35</x:v>
      </x:c>
      <x:c r="J32" s="34" t="n">
        <x:f>H32-I32</x:f>
        <x:v>0.23830409356725146</x:v>
      </x:c>
      <x:c r="K32" t="str">
        <x:f>IF(H32&lt;I32,"FORCED SELL",IF(H32&lt;I32+5%,"MARGIN CALL","OK"))</x:f>
        <x:v>OK</x:v>
      </x:c>
      <x:c r="L32" t="str">
        <x:v>Dummy input; replace with internal margin book</x:v>
      </x:c>
    </x:row>
    <x:row r="33">
      <x:c r="A33" t="str">
        <x:v>ACC030</x:v>
      </x:c>
      <x:c r="B33" t="str">
        <x:v>Group 16</x:v>
      </x:c>
      <x:c r="C33" t="str">
        <x:v>GAS</x:v>
      </x:c>
      <x:c r="D33" t="str">
        <x:v>Real Estate</x:v>
      </x:c>
      <x:c r="E33" s="32" t="n">
        <x:v>57.1</x:v>
      </x:c>
      <x:c r="F33" s="32" t="n">
        <x:v>29.8</x:v>
      </x:c>
      <x:c r="G33" s="32" t="n">
        <x:f>E33-F33</x:f>
        <x:v>27.3</x:v>
      </x:c>
      <x:c r="H33" s="34" t="n">
        <x:f>IFERROR(G33/E33,0)</x:f>
        <x:v>0.47810858143607704</x:v>
      </x:c>
      <x:c r="I33" s="47" t="n">
        <x:v>0.35</x:v>
      </x:c>
      <x:c r="J33" s="34" t="n">
        <x:f>H33-I33</x:f>
        <x:v>0.12810858143607706</x:v>
      </x:c>
      <x:c r="K33" t="str">
        <x:f>IF(H33&lt;I33,"FORCED SELL",IF(H33&lt;I33+5%,"MARGIN CALL","OK"))</x:f>
        <x:v>OK</x:v>
      </x:c>
      <x:c r="L33" t="str">
        <x:v>Dummy input; replace with internal margin book</x:v>
      </x:c>
    </x:row>
    <x:row r="34">
      <x:c r="A34" t="str">
        <x:v>ACC031</x:v>
      </x:c>
      <x:c r="B34" t="str">
        <x:v>Group 11</x:v>
      </x:c>
      <x:c r="C34" t="str">
        <x:v>MWG</x:v>
      </x:c>
      <x:c r="D34" t="str">
        <x:v>Consumer</x:v>
      </x:c>
      <x:c r="E34" s="32" t="n">
        <x:v>47.1</x:v>
      </x:c>
      <x:c r="F34" s="32" t="n">
        <x:v>14.4</x:v>
      </x:c>
      <x:c r="G34" s="32" t="n">
        <x:f>E34-F34</x:f>
        <x:v>32.7</x:v>
      </x:c>
      <x:c r="H34" s="34" t="n">
        <x:f>IFERROR(G34/E34,0)</x:f>
        <x:v>0.694267515923567</x:v>
      </x:c>
      <x:c r="I34" s="47" t="n">
        <x:v>0.35</x:v>
      </x:c>
      <x:c r="J34" s="34" t="n">
        <x:f>H34-I34</x:f>
        <x:v>0.34426751592356697</x:v>
      </x:c>
      <x:c r="K34" t="str">
        <x:f>IF(H34&lt;I34,"FORCED SELL",IF(H34&lt;I34+5%,"MARGIN CALL","OK"))</x:f>
        <x:v>OK</x:v>
      </x:c>
      <x:c r="L34" t="str">
        <x:v>Dummy input; replace with internal margin book</x:v>
      </x:c>
    </x:row>
    <x:row r="35">
      <x:c r="A35" t="str">
        <x:v>ACC032</x:v>
      </x:c>
      <x:c r="B35" t="str">
        <x:v>Group 04</x:v>
      </x:c>
      <x:c r="C35" t="str">
        <x:v>DXG</x:v>
      </x:c>
      <x:c r="D35" t="str">
        <x:v>Industrial</x:v>
      </x:c>
      <x:c r="E35" s="32" t="n">
        <x:v>45.4</x:v>
      </x:c>
      <x:c r="F35" s="32" t="n">
        <x:v>26.8</x:v>
      </x:c>
      <x:c r="G35" s="32" t="n">
        <x:f>E35-F35</x:f>
        <x:v>18.599999999999998</x:v>
      </x:c>
      <x:c r="H35" s="34" t="n">
        <x:f>IFERROR(G35/E35,0)</x:f>
        <x:v>0.4096916299559471</x:v>
      </x:c>
      <x:c r="I35" s="47" t="n">
        <x:v>0.35</x:v>
      </x:c>
      <x:c r="J35" s="34" t="n">
        <x:f>H35-I35</x:f>
        <x:v>0.05969162995594712</x:v>
      </x:c>
      <x:c r="K35" t="str">
        <x:f>IF(H35&lt;I35,"FORCED SELL",IF(H35&lt;I35+5%,"MARGIN CALL","OK"))</x:f>
        <x:v>OK</x:v>
      </x:c>
      <x:c r="L35" t="str">
        <x:v>Dummy input; replace with internal margin book</x:v>
      </x:c>
    </x:row>
    <x:row r="36">
      <x:c r="A36" t="str">
        <x:v>ACC033</x:v>
      </x:c>
      <x:c r="B36" t="str">
        <x:v>Group 02</x:v>
      </x:c>
      <x:c r="C36" t="str">
        <x:v>DXG</x:v>
      </x:c>
      <x:c r="D36" t="str">
        <x:v>Banking</x:v>
      </x:c>
      <x:c r="E36" s="32" t="n">
        <x:v>25.4</x:v>
      </x:c>
      <x:c r="F36" s="32" t="n">
        <x:v>7</x:v>
      </x:c>
      <x:c r="G36" s="32" t="n">
        <x:f>E36-F36</x:f>
        <x:v>18.4</x:v>
      </x:c>
      <x:c r="H36" s="34" t="n">
        <x:f>IFERROR(G36/E36,0)</x:f>
        <x:v>0.7244094488188976</x:v>
      </x:c>
      <x:c r="I36" s="47" t="n">
        <x:v>0.35</x:v>
      </x:c>
      <x:c r="J36" s="34" t="n">
        <x:f>H36-I36</x:f>
        <x:v>0.3744094488188976</x:v>
      </x:c>
      <x:c r="K36" t="str">
        <x:f>IF(H36&lt;I36,"FORCED SELL",IF(H36&lt;I36+5%,"MARGIN CALL","OK"))</x:f>
        <x:v>OK</x:v>
      </x:c>
      <x:c r="L36" t="str">
        <x:v>Dummy input; replace with internal margin book</x:v>
      </x:c>
    </x:row>
    <x:row r="37">
      <x:c r="A37" t="str">
        <x:v>ACC034</x:v>
      </x:c>
      <x:c r="B37" t="str">
        <x:v>Group 10</x:v>
      </x:c>
      <x:c r="C37" t="str">
        <x:v>MSN</x:v>
      </x:c>
      <x:c r="D37" t="str">
        <x:v>Banking</x:v>
      </x:c>
      <x:c r="E37" s="32" t="n">
        <x:v>88.5</x:v>
      </x:c>
      <x:c r="F37" s="32" t="n">
        <x:v>32.1</x:v>
      </x:c>
      <x:c r="G37" s="32" t="n">
        <x:f>E37-F37</x:f>
        <x:v>56.4</x:v>
      </x:c>
      <x:c r="H37" s="34" t="n">
        <x:f>IFERROR(G37/E37,0)</x:f>
        <x:v>0.6372881355932203</x:v>
      </x:c>
      <x:c r="I37" s="47" t="n">
        <x:v>0.35</x:v>
      </x:c>
      <x:c r="J37" s="34" t="n">
        <x:f>H37-I37</x:f>
        <x:v>0.2872881355932203</x:v>
      </x:c>
      <x:c r="K37" t="str">
        <x:f>IF(H37&lt;I37,"FORCED SELL",IF(H37&lt;I37+5%,"MARGIN CALL","OK"))</x:f>
        <x:v>OK</x:v>
      </x:c>
      <x:c r="L37" t="str">
        <x:v>Dummy input; replace with internal margin book</x:v>
      </x:c>
    </x:row>
    <x:row r="38">
      <x:c r="A38" t="str">
        <x:v>ACC035</x:v>
      </x:c>
      <x:c r="B38" t="str">
        <x:v>Group 04</x:v>
      </x:c>
      <x:c r="C38" t="str">
        <x:v>PDR</x:v>
      </x:c>
      <x:c r="D38" t="str">
        <x:v>Industrial</x:v>
      </x:c>
      <x:c r="E38" s="32" t="n">
        <x:v>35</x:v>
      </x:c>
      <x:c r="F38" s="32" t="n">
        <x:v>13.8</x:v>
      </x:c>
      <x:c r="G38" s="32" t="n">
        <x:f>E38-F38</x:f>
        <x:v>21.2</x:v>
      </x:c>
      <x:c r="H38" s="34" t="n">
        <x:f>IFERROR(G38/E38,0)</x:f>
        <x:v>0.6057142857142856</x:v>
      </x:c>
      <x:c r="I38" s="47" t="n">
        <x:v>0.35</x:v>
      </x:c>
      <x:c r="J38" s="34" t="n">
        <x:f>H38-I38</x:f>
        <x:v>0.25571428571428567</x:v>
      </x:c>
      <x:c r="K38" t="str">
        <x:f>IF(H38&lt;I38,"FORCED SELL",IF(H38&lt;I38+5%,"MARGIN CALL","OK"))</x:f>
        <x:v>OK</x:v>
      </x:c>
      <x:c r="L38" t="str">
        <x:v>Dummy input; replace with internal margin book</x:v>
      </x:c>
    </x:row>
    <x:row r="39">
      <x:c r="A39" t="str">
        <x:v>ACC036</x:v>
      </x:c>
      <x:c r="B39" t="str">
        <x:v>Group 08</x:v>
      </x:c>
      <x:c r="C39" t="str">
        <x:v>FPT</x:v>
      </x:c>
      <x:c r="D39" t="str">
        <x:v>Securities</x:v>
      </x:c>
      <x:c r="E39" s="32" t="n">
        <x:v>53.2</x:v>
      </x:c>
      <x:c r="F39" s="32" t="n">
        <x:v>27.1</x:v>
      </x:c>
      <x:c r="G39" s="32" t="n">
        <x:f>E39-F39</x:f>
        <x:v>26.1</x:v>
      </x:c>
      <x:c r="H39" s="34" t="n">
        <x:f>IFERROR(G39/E39,0)</x:f>
        <x:v>0.4906015037593985</x:v>
      </x:c>
      <x:c r="I39" s="47" t="n">
        <x:v>0.35</x:v>
      </x:c>
      <x:c r="J39" s="34" t="n">
        <x:f>H39-I39</x:f>
        <x:v>0.1406015037593985</x:v>
      </x:c>
      <x:c r="K39" t="str">
        <x:f>IF(H39&lt;I39,"FORCED SELL",IF(H39&lt;I39+5%,"MARGIN CALL","OK"))</x:f>
        <x:v>OK</x:v>
      </x:c>
      <x:c r="L39" t="str">
        <x:v>Dummy input; replace with internal margin book</x:v>
      </x:c>
    </x:row>
    <x:row r="40">
      <x:c r="A40" t="str">
        <x:v>ACC037</x:v>
      </x:c>
      <x:c r="B40" t="str">
        <x:v>Group 02</x:v>
      </x:c>
      <x:c r="C40" t="str">
        <x:v>VCB</x:v>
      </x:c>
      <x:c r="D40" t="str">
        <x:v>Real Estate</x:v>
      </x:c>
      <x:c r="E40" s="32" t="n">
        <x:v>18.8</x:v>
      </x:c>
      <x:c r="F40" s="32" t="n">
        <x:v>8.7</x:v>
      </x:c>
      <x:c r="G40" s="32" t="n">
        <x:f>E40-F40</x:f>
        <x:v>10.100000000000001</x:v>
      </x:c>
      <x:c r="H40" s="34" t="n">
        <x:f>IFERROR(G40/E40,0)</x:f>
        <x:v>0.5372340425531915</x:v>
      </x:c>
      <x:c r="I40" s="47" t="n">
        <x:v>0.35</x:v>
      </x:c>
      <x:c r="J40" s="34" t="n">
        <x:f>H40-I40</x:f>
        <x:v>0.18723404255319154</x:v>
      </x:c>
      <x:c r="K40" t="str">
        <x:f>IF(H40&lt;I40,"FORCED SELL",IF(H40&lt;I40+5%,"MARGIN CALL","OK"))</x:f>
        <x:v>OK</x:v>
      </x:c>
      <x:c r="L40" t="str">
        <x:v>Dummy input; replace with internal margin book</x:v>
      </x:c>
    </x:row>
    <x:row r="41">
      <x:c r="A41" t="str">
        <x:v>ACC038</x:v>
      </x:c>
      <x:c r="B41" t="str">
        <x:v>Group 12</x:v>
      </x:c>
      <x:c r="C41" t="str">
        <x:v>SSI</x:v>
      </x:c>
      <x:c r="D41" t="str">
        <x:v>Banking</x:v>
      </x:c>
      <x:c r="E41" s="32" t="n">
        <x:v>61.6</x:v>
      </x:c>
      <x:c r="F41" s="32" t="n">
        <x:v>24.7</x:v>
      </x:c>
      <x:c r="G41" s="32" t="n">
        <x:f>E41-F41</x:f>
        <x:v>36.900000000000006</x:v>
      </x:c>
      <x:c r="H41" s="34" t="n">
        <x:f>IFERROR(G41/E41,0)</x:f>
        <x:v>0.5990259740259741</x:v>
      </x:c>
      <x:c r="I41" s="47" t="n">
        <x:v>0.35</x:v>
      </x:c>
      <x:c r="J41" s="34" t="n">
        <x:f>H41-I41</x:f>
        <x:v>0.24902597402597415</x:v>
      </x:c>
      <x:c r="K41" t="str">
        <x:f>IF(H41&lt;I41,"FORCED SELL",IF(H41&lt;I41+5%,"MARGIN CALL","OK"))</x:f>
        <x:v>OK</x:v>
      </x:c>
      <x:c r="L41" t="str">
        <x:v>Dummy input; replace with internal margin book</x:v>
      </x:c>
    </x:row>
    <x:row r="42">
      <x:c r="A42" t="str">
        <x:v>ACC039</x:v>
      </x:c>
      <x:c r="B42" t="str">
        <x:v>Group 17</x:v>
      </x:c>
      <x:c r="C42" t="str">
        <x:v>GAS</x:v>
      </x:c>
      <x:c r="D42" t="str">
        <x:v>Technology</x:v>
      </x:c>
      <x:c r="E42" s="32" t="n">
        <x:v>58.9</x:v>
      </x:c>
      <x:c r="F42" s="32" t="n">
        <x:v>20.7</x:v>
      </x:c>
      <x:c r="G42" s="32" t="n">
        <x:f>E42-F42</x:f>
        <x:v>38.2</x:v>
      </x:c>
      <x:c r="H42" s="34" t="n">
        <x:f>IFERROR(G42/E42,0)</x:f>
        <x:v>0.6485568760611206</x:v>
      </x:c>
      <x:c r="I42" s="47" t="n">
        <x:v>0.35</x:v>
      </x:c>
      <x:c r="J42" s="34" t="n">
        <x:f>H42-I42</x:f>
        <x:v>0.2985568760611206</x:v>
      </x:c>
      <x:c r="K42" t="str">
        <x:f>IF(H42&lt;I42,"FORCED SELL",IF(H42&lt;I42+5%,"MARGIN CALL","OK"))</x:f>
        <x:v>OK</x:v>
      </x:c>
      <x:c r="L42" t="str">
        <x:v>Dummy input; replace with internal margin book</x:v>
      </x:c>
    </x:row>
    <x:row r="43">
      <x:c r="A43" t="str">
        <x:v>ACC040</x:v>
      </x:c>
      <x:c r="B43" t="str">
        <x:v>Group 10</x:v>
      </x:c>
      <x:c r="C43" t="str">
        <x:v>VCB</x:v>
      </x:c>
      <x:c r="D43" t="str">
        <x:v>Industrial</x:v>
      </x:c>
      <x:c r="E43" s="32" t="n">
        <x:v>72.7</x:v>
      </x:c>
      <x:c r="F43" s="32" t="n">
        <x:v>29.9</x:v>
      </x:c>
      <x:c r="G43" s="32" t="n">
        <x:f>E43-F43</x:f>
        <x:v>42.800000000000004</x:v>
      </x:c>
      <x:c r="H43" s="34" t="n">
        <x:f>IFERROR(G43/E43,0)</x:f>
        <x:v>0.5887207702888584</x:v>
      </x:c>
      <x:c r="I43" s="47" t="n">
        <x:v>0.35</x:v>
      </x:c>
      <x:c r="J43" s="34" t="n">
        <x:f>H43-I43</x:f>
        <x:v>0.2387207702888584</x:v>
      </x:c>
      <x:c r="K43" t="str">
        <x:f>IF(H43&lt;I43,"FORCED SELL",IF(H43&lt;I43+5%,"MARGIN CALL","OK"))</x:f>
        <x:v>OK</x:v>
      </x:c>
      <x:c r="L43" t="str">
        <x:v>Dummy input; replace with internal margin book</x:v>
      </x:c>
    </x:row>
    <x:row r="44">
      <x:c r="A44" t="str">
        <x:v>ACC041</x:v>
      </x:c>
      <x:c r="B44" t="str">
        <x:v>Group 16</x:v>
      </x:c>
      <x:c r="C44" t="str">
        <x:v>TCB</x:v>
      </x:c>
      <x:c r="D44" t="str">
        <x:v>Real Estate</x:v>
      </x:c>
      <x:c r="E44" s="32" t="n">
        <x:v>89.2</x:v>
      </x:c>
      <x:c r="F44" s="32" t="n">
        <x:v>47.8</x:v>
      </x:c>
      <x:c r="G44" s="32" t="n">
        <x:f>E44-F44</x:f>
        <x:v>41.400000000000006</x:v>
      </x:c>
      <x:c r="H44" s="34" t="n">
        <x:f>IFERROR(G44/E44,0)</x:f>
        <x:v>0.46412556053811665</x:v>
      </x:c>
      <x:c r="I44" s="47" t="n">
        <x:v>0.35</x:v>
      </x:c>
      <x:c r="J44" s="34" t="n">
        <x:f>H44-I44</x:f>
        <x:v>0.11412556053811668</x:v>
      </x:c>
      <x:c r="K44" t="str">
        <x:f>IF(H44&lt;I44,"FORCED SELL",IF(H44&lt;I44+5%,"MARGIN CALL","OK"))</x:f>
        <x:v>OK</x:v>
      </x:c>
      <x:c r="L44" t="str">
        <x:v>Dummy input; replace with internal margin book</x:v>
      </x:c>
    </x:row>
    <x:row r="45">
      <x:c r="A45" t="str">
        <x:v>ACC042</x:v>
      </x:c>
      <x:c r="B45" t="str">
        <x:v>Group 01</x:v>
      </x:c>
      <x:c r="C45" t="str">
        <x:v>HDB</x:v>
      </x:c>
      <x:c r="D45" t="str">
        <x:v>Energy</x:v>
      </x:c>
      <x:c r="E45" s="32" t="n">
        <x:v>5.5</x:v>
      </x:c>
      <x:c r="F45" s="32" t="n">
        <x:v>2.5</x:v>
      </x:c>
      <x:c r="G45" s="32" t="n">
        <x:f>E45-F45</x:f>
        <x:v>3</x:v>
      </x:c>
      <x:c r="H45" s="34" t="n">
        <x:f>IFERROR(G45/E45,0)</x:f>
        <x:v>0.5454545454545454</x:v>
      </x:c>
      <x:c r="I45" s="47" t="n">
        <x:v>0.35</x:v>
      </x:c>
      <x:c r="J45" s="34" t="n">
        <x:f>H45-I45</x:f>
        <x:v>0.19545454545454544</x:v>
      </x:c>
      <x:c r="K45" t="str">
        <x:f>IF(H45&lt;I45,"FORCED SELL",IF(H45&lt;I45+5%,"MARGIN CALL","OK"))</x:f>
        <x:v>OK</x:v>
      </x:c>
      <x:c r="L45" t="str">
        <x:v>Dummy input; replace with internal margin book</x:v>
      </x:c>
    </x:row>
    <x:row r="46">
      <x:c r="A46" t="str">
        <x:v>ACC043</x:v>
      </x:c>
      <x:c r="B46" t="str">
        <x:v>Group 06</x:v>
      </x:c>
      <x:c r="C46" t="str">
        <x:v>VCB</x:v>
      </x:c>
      <x:c r="D46" t="str">
        <x:v>Energy</x:v>
      </x:c>
      <x:c r="E46" s="32" t="n">
        <x:v>33.3</x:v>
      </x:c>
      <x:c r="F46" s="32" t="n">
        <x:v>20.6</x:v>
      </x:c>
      <x:c r="G46" s="32" t="n">
        <x:f>E46-F46</x:f>
        <x:v>12.699999999999996</x:v>
      </x:c>
      <x:c r="H46" s="34" t="n">
        <x:f>IFERROR(G46/E46,0)</x:f>
        <x:v>0.3813813813813813</x:v>
      </x:c>
      <x:c r="I46" s="47" t="n">
        <x:v>0.35</x:v>
      </x:c>
      <x:c r="J46" s="34" t="n">
        <x:f>H46-I46</x:f>
        <x:v>0.0313813813813813</x:v>
      </x:c>
      <x:c r="K46" t="str">
        <x:f>IF(H46&lt;I46,"FORCED SELL",IF(H46&lt;I46+5%,"MARGIN CALL","OK"))</x:f>
        <x:v>MARGIN CALL</x:v>
      </x:c>
      <x:c r="L46" t="str">
        <x:v>Dummy input; replace with internal margin book</x:v>
      </x:c>
    </x:row>
    <x:row r="47">
      <x:c r="A47" t="str">
        <x:v>ACC044</x:v>
      </x:c>
      <x:c r="B47" t="str">
        <x:v>Group 05</x:v>
      </x:c>
      <x:c r="C47" t="str">
        <x:v>VCB</x:v>
      </x:c>
      <x:c r="D47" t="str">
        <x:v>Real Estate</x:v>
      </x:c>
      <x:c r="E47" s="32" t="n">
        <x:v>46.4</x:v>
      </x:c>
      <x:c r="F47" s="32" t="n">
        <x:v>23.2</x:v>
      </x:c>
      <x:c r="G47" s="32" t="n">
        <x:f>E47-F47</x:f>
        <x:v>23.2</x:v>
      </x:c>
      <x:c r="H47" s="34" t="n">
        <x:f>IFERROR(G47/E47,0)</x:f>
        <x:v>0.5</x:v>
      </x:c>
      <x:c r="I47" s="47" t="n">
        <x:v>0.35</x:v>
      </x:c>
      <x:c r="J47" s="34" t="n">
        <x:f>H47-I47</x:f>
        <x:v>0.15000000000000002</x:v>
      </x:c>
      <x:c r="K47" t="str">
        <x:f>IF(H47&lt;I47,"FORCED SELL",IF(H47&lt;I47+5%,"MARGIN CALL","OK"))</x:f>
        <x:v>OK</x:v>
      </x:c>
      <x:c r="L47" t="str">
        <x:v>Dummy input; replace with internal margin book</x:v>
      </x:c>
    </x:row>
    <x:row r="48">
      <x:c r="A48" t="str">
        <x:v>ACC045</x:v>
      </x:c>
      <x:c r="B48" t="str">
        <x:v>Group 19</x:v>
      </x:c>
      <x:c r="C48" t="str">
        <x:v>MWG</x:v>
      </x:c>
      <x:c r="D48" t="str">
        <x:v>Energy</x:v>
      </x:c>
      <x:c r="E48" s="32" t="n">
        <x:v>64.1</x:v>
      </x:c>
      <x:c r="F48" s="32" t="n">
        <x:v>29.2</x:v>
      </x:c>
      <x:c r="G48" s="32" t="n">
        <x:f>E48-F48</x:f>
        <x:v>34.89999999999999</x:v>
      </x:c>
      <x:c r="H48" s="34" t="n">
        <x:f>IFERROR(G48/E48,0)</x:f>
        <x:v>0.5444617784711387</x:v>
      </x:c>
      <x:c r="I48" s="47" t="n">
        <x:v>0.35</x:v>
      </x:c>
      <x:c r="J48" s="34" t="n">
        <x:f>H48-I48</x:f>
        <x:v>0.19446177847113877</x:v>
      </x:c>
      <x:c r="K48" t="str">
        <x:f>IF(H48&lt;I48,"FORCED SELL",IF(H48&lt;I48+5%,"MARGIN CALL","OK"))</x:f>
        <x:v>OK</x:v>
      </x:c>
      <x:c r="L48" t="str">
        <x:v>Dummy input; replace with internal margin book</x:v>
      </x:c>
    </x:row>
    <x:row r="49">
      <x:c r="A49" t="str">
        <x:v>ACC046</x:v>
      </x:c>
      <x:c r="B49" t="str">
        <x:v>Group 20</x:v>
      </x:c>
      <x:c r="C49" t="str">
        <x:v>GAS</x:v>
      </x:c>
      <x:c r="D49" t="str">
        <x:v>Energy</x:v>
      </x:c>
      <x:c r="E49" s="32" t="n">
        <x:v>22.6</x:v>
      </x:c>
      <x:c r="F49" s="32" t="n">
        <x:v>5.8</x:v>
      </x:c>
      <x:c r="G49" s="32" t="n">
        <x:f>E49-F49</x:f>
        <x:v>16.8</x:v>
      </x:c>
      <x:c r="H49" s="34" t="n">
        <x:f>IFERROR(G49/E49,0)</x:f>
        <x:v>0.743362831858407</x:v>
      </x:c>
      <x:c r="I49" s="47" t="n">
        <x:v>0.35</x:v>
      </x:c>
      <x:c r="J49" s="34" t="n">
        <x:f>H49-I49</x:f>
        <x:v>0.39336283185840704</x:v>
      </x:c>
      <x:c r="K49" t="str">
        <x:f>IF(H49&lt;I49,"FORCED SELL",IF(H49&lt;I49+5%,"MARGIN CALL","OK"))</x:f>
        <x:v>OK</x:v>
      </x:c>
      <x:c r="L49" t="str">
        <x:v>Dummy input; replace with internal margin book</x:v>
      </x:c>
    </x:row>
    <x:row r="50">
      <x:c r="A50" t="str">
        <x:v>ACC047</x:v>
      </x:c>
      <x:c r="B50" t="str">
        <x:v>Group 18</x:v>
      </x:c>
      <x:c r="C50" t="str">
        <x:v>VCB</x:v>
      </x:c>
      <x:c r="D50" t="str">
        <x:v>Securities</x:v>
      </x:c>
      <x:c r="E50" s="32" t="n">
        <x:v>21.7</x:v>
      </x:c>
      <x:c r="F50" s="32" t="n">
        <x:v>7.4</x:v>
      </x:c>
      <x:c r="G50" s="32" t="n">
        <x:f>E50-F50</x:f>
        <x:v>14.299999999999999</x:v>
      </x:c>
      <x:c r="H50" s="34" t="n">
        <x:f>IFERROR(G50/E50,0)</x:f>
        <x:v>0.6589861751152073</x:v>
      </x:c>
      <x:c r="I50" s="47" t="n">
        <x:v>0.35</x:v>
      </x:c>
      <x:c r="J50" s="34" t="n">
        <x:f>H50-I50</x:f>
        <x:v>0.3089861751152073</x:v>
      </x:c>
      <x:c r="K50" t="str">
        <x:f>IF(H50&lt;I50,"FORCED SELL",IF(H50&lt;I50+5%,"MARGIN CALL","OK"))</x:f>
        <x:v>OK</x:v>
      </x:c>
      <x:c r="L50" t="str">
        <x:v>Dummy input; replace with internal margin book</x:v>
      </x:c>
    </x:row>
    <x:row r="51">
      <x:c r="A51" t="str">
        <x:v>ACC048</x:v>
      </x:c>
      <x:c r="B51" t="str">
        <x:v>Group 15</x:v>
      </x:c>
      <x:c r="C51" t="str">
        <x:v>MWG</x:v>
      </x:c>
      <x:c r="D51" t="str">
        <x:v>Banking</x:v>
      </x:c>
      <x:c r="E51" s="32" t="n">
        <x:v>8.1</x:v>
      </x:c>
      <x:c r="F51" s="32" t="n">
        <x:v>3.1</x:v>
      </x:c>
      <x:c r="G51" s="32" t="n">
        <x:f>E51-F51</x:f>
        <x:v>5</x:v>
      </x:c>
      <x:c r="H51" s="34" t="n">
        <x:f>IFERROR(G51/E51,0)</x:f>
        <x:v>0.617283950617284</x:v>
      </x:c>
      <x:c r="I51" s="47" t="n">
        <x:v>0.35</x:v>
      </x:c>
      <x:c r="J51" s="34" t="n">
        <x:f>H51-I51</x:f>
        <x:v>0.26728395061728405</x:v>
      </x:c>
      <x:c r="K51" t="str">
        <x:f>IF(H51&lt;I51,"FORCED SELL",IF(H51&lt;I51+5%,"MARGIN CALL","OK"))</x:f>
        <x:v>OK</x:v>
      </x:c>
      <x:c r="L51" t="str">
        <x:v>Dummy input; replace with internal margin book</x:v>
      </x:c>
    </x:row>
    <x:row r="52">
      <x:c r="A52" t="str">
        <x:v>ACC049</x:v>
      </x:c>
      <x:c r="B52" t="str">
        <x:v>Group 02</x:v>
      </x:c>
      <x:c r="C52" t="str">
        <x:v>GEX</x:v>
      </x:c>
      <x:c r="D52" t="str">
        <x:v>Consumer</x:v>
      </x:c>
      <x:c r="E52" s="32" t="n">
        <x:v>71.2</x:v>
      </x:c>
      <x:c r="F52" s="32" t="n">
        <x:v>28</x:v>
      </x:c>
      <x:c r="G52" s="32" t="n">
        <x:f>E52-F52</x:f>
        <x:v>43.2</x:v>
      </x:c>
      <x:c r="H52" s="34" t="n">
        <x:f>IFERROR(G52/E52,0)</x:f>
        <x:v>0.6067415730337079</x:v>
      </x:c>
      <x:c r="I52" s="47" t="n">
        <x:v>0.35</x:v>
      </x:c>
      <x:c r="J52" s="34" t="n">
        <x:f>H52-I52</x:f>
        <x:v>0.2567415730337079</x:v>
      </x:c>
      <x:c r="K52" t="str">
        <x:f>IF(H52&lt;I52,"FORCED SELL",IF(H52&lt;I52+5%,"MARGIN CALL","OK"))</x:f>
        <x:v>OK</x:v>
      </x:c>
      <x:c r="L52" t="str">
        <x:v>Dummy input; replace with internal margin book</x:v>
      </x:c>
    </x:row>
    <x:row r="53">
      <x:c r="A53" t="str">
        <x:v>ACC050</x:v>
      </x:c>
      <x:c r="B53" t="str">
        <x:v>Group 03</x:v>
      </x:c>
      <x:c r="C53" t="str">
        <x:v>TCB</x:v>
      </x:c>
      <x:c r="D53" t="str">
        <x:v>Consumer</x:v>
      </x:c>
      <x:c r="E53" s="32" t="n">
        <x:v>107.9</x:v>
      </x:c>
      <x:c r="F53" s="32" t="n">
        <x:v>52.3</x:v>
      </x:c>
      <x:c r="G53" s="32" t="n">
        <x:f>E53-F53</x:f>
        <x:v>55.60000000000001</x:v>
      </x:c>
      <x:c r="H53" s="34" t="n">
        <x:f>IFERROR(G53/E53,0)</x:f>
        <x:v>0.515291936978684</x:v>
      </x:c>
      <x:c r="I53" s="47" t="n">
        <x:v>0.35</x:v>
      </x:c>
      <x:c r="J53" s="34" t="n">
        <x:f>H53-I53</x:f>
        <x:v>0.16529193697868405</x:v>
      </x:c>
      <x:c r="K53" t="str">
        <x:f>IF(H53&lt;I53,"FORCED SELL",IF(H53&lt;I53+5%,"MARGIN CALL","OK"))</x:f>
        <x:v>OK</x:v>
      </x:c>
      <x:c r="L53" t="str">
        <x:v>Dummy input; replace with internal margin book</x:v>
      </x:c>
    </x:row>
    <x:row r="54">
      <x:c r="A54" t="str">
        <x:v>ACC051</x:v>
      </x:c>
      <x:c r="B54" t="str">
        <x:v>Group 14</x:v>
      </x:c>
      <x:c r="C54" t="str">
        <x:v>PDR</x:v>
      </x:c>
      <x:c r="D54" t="str">
        <x:v>Industrial</x:v>
      </x:c>
      <x:c r="E54" s="32" t="n">
        <x:v>28.1</x:v>
      </x:c>
      <x:c r="F54" s="32" t="n">
        <x:v>16.7</x:v>
      </x:c>
      <x:c r="G54" s="32" t="n">
        <x:f>E54-F54</x:f>
        <x:v>11.400000000000002</x:v>
      </x:c>
      <x:c r="H54" s="34" t="n">
        <x:f>IFERROR(G54/E54,0)</x:f>
        <x:v>0.405693950177936</x:v>
      </x:c>
      <x:c r="I54" s="47" t="n">
        <x:v>0.35</x:v>
      </x:c>
      <x:c r="J54" s="34" t="n">
        <x:f>H54-I54</x:f>
        <x:v>0.05569395017793605</x:v>
      </x:c>
      <x:c r="K54" t="str">
        <x:f>IF(H54&lt;I54,"FORCED SELL",IF(H54&lt;I54+5%,"MARGIN CALL","OK"))</x:f>
        <x:v>OK</x:v>
      </x:c>
      <x:c r="L54" t="str">
        <x:v>Dummy input; replace with internal margin book</x:v>
      </x:c>
    </x:row>
    <x:row r="55">
      <x:c r="A55" t="str">
        <x:v>ACC052</x:v>
      </x:c>
      <x:c r="B55" t="str">
        <x:v>Group 05</x:v>
      </x:c>
      <x:c r="C55" t="str">
        <x:v>VHM</x:v>
      </x:c>
      <x:c r="D55" t="str">
        <x:v>Securities</x:v>
      </x:c>
      <x:c r="E55" s="32" t="n">
        <x:v>33.5</x:v>
      </x:c>
      <x:c r="F55" s="32" t="n">
        <x:v>14.7</x:v>
      </x:c>
      <x:c r="G55" s="32" t="n">
        <x:f>E55-F55</x:f>
        <x:v>18.8</x:v>
      </x:c>
      <x:c r="H55" s="34" t="n">
        <x:f>IFERROR(G55/E55,0)</x:f>
        <x:v>0.5611940298507463</x:v>
      </x:c>
      <x:c r="I55" s="47" t="n">
        <x:v>0.35</x:v>
      </x:c>
      <x:c r="J55" s="34" t="n">
        <x:f>H55-I55</x:f>
        <x:v>0.2111940298507463</x:v>
      </x:c>
      <x:c r="K55" t="str">
        <x:f>IF(H55&lt;I55,"FORCED SELL",IF(H55&lt;I55+5%,"MARGIN CALL","OK"))</x:f>
        <x:v>OK</x:v>
      </x:c>
      <x:c r="L55" t="str">
        <x:v>Dummy input; replace with internal margin book</x:v>
      </x:c>
    </x:row>
    <x:row r="56">
      <x:c r="A56" t="str">
        <x:v>ACC053</x:v>
      </x:c>
      <x:c r="B56" t="str">
        <x:v>Group 11</x:v>
      </x:c>
      <x:c r="C56" t="str">
        <x:v>MBB</x:v>
      </x:c>
      <x:c r="D56" t="str">
        <x:v>Steel</x:v>
      </x:c>
      <x:c r="E56" s="32" t="n">
        <x:v>64.7</x:v>
      </x:c>
      <x:c r="F56" s="32" t="n">
        <x:v>29.2</x:v>
      </x:c>
      <x:c r="G56" s="32" t="n">
        <x:f>E56-F56</x:f>
        <x:v>35.5</x:v>
      </x:c>
      <x:c r="H56" s="34" t="n">
        <x:f>IFERROR(G56/E56,0)</x:f>
        <x:v>0.5486862442040186</x:v>
      </x:c>
      <x:c r="I56" s="47" t="n">
        <x:v>0.35</x:v>
      </x:c>
      <x:c r="J56" s="34" t="n">
        <x:f>H56-I56</x:f>
        <x:v>0.1986862442040186</x:v>
      </x:c>
      <x:c r="K56" t="str">
        <x:f>IF(H56&lt;I56,"FORCED SELL",IF(H56&lt;I56+5%,"MARGIN CALL","OK"))</x:f>
        <x:v>OK</x:v>
      </x:c>
      <x:c r="L56" t="str">
        <x:v>Dummy input; replace with internal margin book</x:v>
      </x:c>
    </x:row>
    <x:row r="57">
      <x:c r="A57" t="str">
        <x:v>ACC054</x:v>
      </x:c>
      <x:c r="B57" t="str">
        <x:v>Group 01</x:v>
      </x:c>
      <x:c r="C57" t="str">
        <x:v>SSI</x:v>
      </x:c>
      <x:c r="D57" t="str">
        <x:v>Real Estate</x:v>
      </x:c>
      <x:c r="E57" s="32" t="n">
        <x:v>16</x:v>
      </x:c>
      <x:c r="F57" s="32" t="n">
        <x:v>5.3</x:v>
      </x:c>
      <x:c r="G57" s="32" t="n">
        <x:f>E57-F57</x:f>
        <x:v>10.7</x:v>
      </x:c>
      <x:c r="H57" s="34" t="n">
        <x:f>IFERROR(G57/E57,0)</x:f>
        <x:v>0.66875</x:v>
      </x:c>
      <x:c r="I57" s="47" t="n">
        <x:v>0.35</x:v>
      </x:c>
      <x:c r="J57" s="34" t="n">
        <x:f>H57-I57</x:f>
        <x:v>0.31875</x:v>
      </x:c>
      <x:c r="K57" t="str">
        <x:f>IF(H57&lt;I57,"FORCED SELL",IF(H57&lt;I57+5%,"MARGIN CALL","OK"))</x:f>
        <x:v>OK</x:v>
      </x:c>
      <x:c r="L57" t="str">
        <x:v>Dummy input; replace with internal margin book</x:v>
      </x:c>
    </x:row>
    <x:row r="58">
      <x:c r="A58" t="str">
        <x:v>ACC055</x:v>
      </x:c>
      <x:c r="B58" t="str">
        <x:v>Group 10</x:v>
      </x:c>
      <x:c r="C58" t="str">
        <x:v>TCB</x:v>
      </x:c>
      <x:c r="D58" t="str">
        <x:v>Industrial</x:v>
      </x:c>
      <x:c r="E58" s="32" t="n">
        <x:v>42.1</x:v>
      </x:c>
      <x:c r="F58" s="32" t="n">
        <x:v>27.1</x:v>
      </x:c>
      <x:c r="G58" s="32" t="n">
        <x:f>E58-F58</x:f>
        <x:v>15</x:v>
      </x:c>
      <x:c r="H58" s="34" t="n">
        <x:f>IFERROR(G58/E58,0)</x:f>
        <x:v>0.3562945368171021</x:v>
      </x:c>
      <x:c r="I58" s="47" t="n">
        <x:v>0.35</x:v>
      </x:c>
      <x:c r="J58" s="34" t="n">
        <x:f>H58-I58</x:f>
        <x:v>0.006294536817102125</x:v>
      </x:c>
      <x:c r="K58" t="str">
        <x:f>IF(H58&lt;I58,"FORCED SELL",IF(H58&lt;I58+5%,"MARGIN CALL","OK"))</x:f>
        <x:v>MARGIN CALL</x:v>
      </x:c>
      <x:c r="L58" t="str">
        <x:v>Dummy input; replace with internal margin book</x:v>
      </x:c>
    </x:row>
    <x:row r="59">
      <x:c r="A59" t="str">
        <x:v>ACC056</x:v>
      </x:c>
      <x:c r="B59" t="str">
        <x:v>Group 18</x:v>
      </x:c>
      <x:c r="C59" t="str">
        <x:v>TCB</x:v>
      </x:c>
      <x:c r="D59" t="str">
        <x:v>Real Estate</x:v>
      </x:c>
      <x:c r="E59" s="32" t="n">
        <x:v>13</x:v>
      </x:c>
      <x:c r="F59" s="32" t="n">
        <x:v>6.7</x:v>
      </x:c>
      <x:c r="G59" s="32" t="n">
        <x:f>E59-F59</x:f>
        <x:v>6.3</x:v>
      </x:c>
      <x:c r="H59" s="34" t="n">
        <x:f>IFERROR(G59/E59,0)</x:f>
        <x:v>0.4846153846153846</x:v>
      </x:c>
      <x:c r="I59" s="47" t="n">
        <x:v>0.35</x:v>
      </x:c>
      <x:c r="J59" s="34" t="n">
        <x:f>H59-I59</x:f>
        <x:v>0.13461538461538464</x:v>
      </x:c>
      <x:c r="K59" t="str">
        <x:f>IF(H59&lt;I59,"FORCED SELL",IF(H59&lt;I59+5%,"MARGIN CALL","OK"))</x:f>
        <x:v>OK</x:v>
      </x:c>
      <x:c r="L59" t="str">
        <x:v>Dummy input; replace with internal margin book</x:v>
      </x:c>
    </x:row>
    <x:row r="60">
      <x:c r="A60" t="str">
        <x:v>ACC057</x:v>
      </x:c>
      <x:c r="B60" t="str">
        <x:v>Group 02</x:v>
      </x:c>
      <x:c r="C60" t="str">
        <x:v>SSI</x:v>
      </x:c>
      <x:c r="D60" t="str">
        <x:v>Real Estate</x:v>
      </x:c>
      <x:c r="E60" s="32" t="n">
        <x:v>108.3</x:v>
      </x:c>
      <x:c r="F60" s="32" t="n">
        <x:v>62.3</x:v>
      </x:c>
      <x:c r="G60" s="32" t="n">
        <x:f>E60-F60</x:f>
        <x:v>46</x:v>
      </x:c>
      <x:c r="H60" s="34" t="n">
        <x:f>IFERROR(G60/E60,0)</x:f>
        <x:v>0.4247460757156048</x:v>
      </x:c>
      <x:c r="I60" s="47" t="n">
        <x:v>0.35</x:v>
      </x:c>
      <x:c r="J60" s="34" t="n">
        <x:f>H60-I60</x:f>
        <x:v>0.07474607571560482</x:v>
      </x:c>
      <x:c r="K60" t="str">
        <x:f>IF(H60&lt;I60,"FORCED SELL",IF(H60&lt;I60+5%,"MARGIN CALL","OK"))</x:f>
        <x:v>OK</x:v>
      </x:c>
      <x:c r="L60" t="str">
        <x:v>Dummy input; replace with internal margin book</x:v>
      </x:c>
    </x:row>
    <x:row r="61">
      <x:c r="A61" t="str">
        <x:v>ACC058</x:v>
      </x:c>
      <x:c r="B61" t="str">
        <x:v>Group 17</x:v>
      </x:c>
      <x:c r="C61" t="str">
        <x:v>MSN</x:v>
      </x:c>
      <x:c r="D61" t="str">
        <x:v>Real Estate</x:v>
      </x:c>
      <x:c r="E61" s="32" t="n">
        <x:v>92.8</x:v>
      </x:c>
      <x:c r="F61" s="32" t="n">
        <x:v>24</x:v>
      </x:c>
      <x:c r="G61" s="32" t="n">
        <x:f>E61-F61</x:f>
        <x:v>68.8</x:v>
      </x:c>
      <x:c r="H61" s="34" t="n">
        <x:f>IFERROR(G61/E61,0)</x:f>
        <x:v>0.7413793103448276</x:v>
      </x:c>
      <x:c r="I61" s="47" t="n">
        <x:v>0.35</x:v>
      </x:c>
      <x:c r="J61" s="34" t="n">
        <x:f>H61-I61</x:f>
        <x:v>0.39137931034482765</x:v>
      </x:c>
      <x:c r="K61" t="str">
        <x:f>IF(H61&lt;I61,"FORCED SELL",IF(H61&lt;I61+5%,"MARGIN CALL","OK"))</x:f>
        <x:v>OK</x:v>
      </x:c>
      <x:c r="L61" t="str">
        <x:v>Dummy input; replace with internal margin book</x:v>
      </x:c>
    </x:row>
    <x:row r="62">
      <x:c r="A62" t="str">
        <x:v>ACC059</x:v>
      </x:c>
      <x:c r="B62" t="str">
        <x:v>Group 16</x:v>
      </x:c>
      <x:c r="C62" t="str">
        <x:v>VCB</x:v>
      </x:c>
      <x:c r="D62" t="str">
        <x:v>Steel</x:v>
      </x:c>
      <x:c r="E62" s="32" t="n">
        <x:v>44</x:v>
      </x:c>
      <x:c r="F62" s="32" t="n">
        <x:v>23.1</x:v>
      </x:c>
      <x:c r="G62" s="32" t="n">
        <x:f>E62-F62</x:f>
        <x:v>20.9</x:v>
      </x:c>
      <x:c r="H62" s="34" t="n">
        <x:f>IFERROR(G62/E62,0)</x:f>
        <x:v>0.475</x:v>
      </x:c>
      <x:c r="I62" s="47" t="n">
        <x:v>0.35</x:v>
      </x:c>
      <x:c r="J62" s="34" t="n">
        <x:f>H62-I62</x:f>
        <x:v>0.125</x:v>
      </x:c>
      <x:c r="K62" t="str">
        <x:f>IF(H62&lt;I62,"FORCED SELL",IF(H62&lt;I62+5%,"MARGIN CALL","OK"))</x:f>
        <x:v>OK</x:v>
      </x:c>
      <x:c r="L62" t="str">
        <x:v>Dummy input; replace with internal margin book</x:v>
      </x:c>
    </x:row>
    <x:row r="63">
      <x:c r="A63" t="str">
        <x:v>ACC060</x:v>
      </x:c>
      <x:c r="B63" t="str">
        <x:v>Group 10</x:v>
      </x:c>
      <x:c r="C63" t="str">
        <x:v>MBB</x:v>
      </x:c>
      <x:c r="D63" t="str">
        <x:v>Securities</x:v>
      </x:c>
      <x:c r="E63" s="32" t="n">
        <x:v>69.8</x:v>
      </x:c>
      <x:c r="F63" s="32" t="n">
        <x:v>43.8</x:v>
      </x:c>
      <x:c r="G63" s="32" t="n">
        <x:f>E63-F63</x:f>
        <x:v>26</x:v>
      </x:c>
      <x:c r="H63" s="34" t="n">
        <x:f>IFERROR(G63/E63,0)</x:f>
        <x:v>0.3724928366762178</x:v>
      </x:c>
      <x:c r="I63" s="47" t="n">
        <x:v>0.35</x:v>
      </x:c>
      <x:c r="J63" s="34" t="n">
        <x:f>H63-I63</x:f>
        <x:v>0.02249283667621782</x:v>
      </x:c>
      <x:c r="K63" t="str">
        <x:f>IF(H63&lt;I63,"FORCED SELL",IF(H63&lt;I63+5%,"MARGIN CALL","OK"))</x:f>
        <x:v>MARGIN CALL</x:v>
      </x:c>
      <x:c r="L63" t="str">
        <x:v>Dummy input; replace with internal margin book</x:v>
      </x:c>
    </x:row>
    <x:row r="64">
      <x:c r="A64" t="str">
        <x:v>ACC061</x:v>
      </x:c>
      <x:c r="B64" t="str">
        <x:v>Group 05</x:v>
      </x:c>
      <x:c r="C64" t="str">
        <x:v>VCB</x:v>
      </x:c>
      <x:c r="D64" t="str">
        <x:v>Technology</x:v>
      </x:c>
      <x:c r="E64" s="32" t="n">
        <x:v>23.2</x:v>
      </x:c>
      <x:c r="F64" s="32" t="n">
        <x:v>7.9</x:v>
      </x:c>
      <x:c r="G64" s="32" t="n">
        <x:f>E64-F64</x:f>
        <x:v>15.299999999999999</x:v>
      </x:c>
      <x:c r="H64" s="34" t="n">
        <x:f>IFERROR(G64/E64,0)</x:f>
        <x:v>0.6594827586206896</x:v>
      </x:c>
      <x:c r="I64" s="47" t="n">
        <x:v>0.35</x:v>
      </x:c>
      <x:c r="J64" s="34" t="n">
        <x:f>H64-I64</x:f>
        <x:v>0.30948275862068964</x:v>
      </x:c>
      <x:c r="K64" t="str">
        <x:f>IF(H64&lt;I64,"FORCED SELL",IF(H64&lt;I64+5%,"MARGIN CALL","OK"))</x:f>
        <x:v>OK</x:v>
      </x:c>
      <x:c r="L64" t="str">
        <x:v>Dummy input; replace with internal margin book</x:v>
      </x:c>
    </x:row>
    <x:row r="65">
      <x:c r="A65" t="str">
        <x:v>ACC062</x:v>
      </x:c>
      <x:c r="B65" t="str">
        <x:v>Group 19</x:v>
      </x:c>
      <x:c r="C65" t="str">
        <x:v>PDR</x:v>
      </x:c>
      <x:c r="D65" t="str">
        <x:v>Industrial</x:v>
      </x:c>
      <x:c r="E65" s="32" t="n">
        <x:v>69.6</x:v>
      </x:c>
      <x:c r="F65" s="32" t="n">
        <x:v>41.4</x:v>
      </x:c>
      <x:c r="G65" s="32" t="n">
        <x:f>E65-F65</x:f>
        <x:v>28.199999999999996</x:v>
      </x:c>
      <x:c r="H65" s="34" t="n">
        <x:f>IFERROR(G65/E65,0)</x:f>
        <x:v>0.4051724137931034</x:v>
      </x:c>
      <x:c r="I65" s="47" t="n">
        <x:v>0.35</x:v>
      </x:c>
      <x:c r="J65" s="34" t="n">
        <x:f>H65-I65</x:f>
        <x:v>0.05517241379310345</x:v>
      </x:c>
      <x:c r="K65" t="str">
        <x:f>IF(H65&lt;I65,"FORCED SELL",IF(H65&lt;I65+5%,"MARGIN CALL","OK"))</x:f>
        <x:v>OK</x:v>
      </x:c>
      <x:c r="L65" t="str">
        <x:v>Dummy input; replace with internal margin book</x:v>
      </x:c>
    </x:row>
    <x:row r="66">
      <x:c r="A66" t="str">
        <x:v>ACC063</x:v>
      </x:c>
      <x:c r="B66" t="str">
        <x:v>Group 20</x:v>
      </x:c>
      <x:c r="C66" t="str">
        <x:v>HDB</x:v>
      </x:c>
      <x:c r="D66" t="str">
        <x:v>Industrial</x:v>
      </x:c>
      <x:c r="E66" s="32" t="n">
        <x:v>28.8</x:v>
      </x:c>
      <x:c r="F66" s="32" t="n">
        <x:v>13.9</x:v>
      </x:c>
      <x:c r="G66" s="32" t="n">
        <x:f>E66-F66</x:f>
        <x:v>14.9</x:v>
      </x:c>
      <x:c r="H66" s="34" t="n">
        <x:f>IFERROR(G66/E66,0)</x:f>
        <x:v>0.5173611111111112</x:v>
      </x:c>
      <x:c r="I66" s="47" t="n">
        <x:v>0.35</x:v>
      </x:c>
      <x:c r="J66" s="34" t="n">
        <x:f>H66-I66</x:f>
        <x:v>0.16736111111111118</x:v>
      </x:c>
      <x:c r="K66" t="str">
        <x:f>IF(H66&lt;I66,"FORCED SELL",IF(H66&lt;I66+5%,"MARGIN CALL","OK"))</x:f>
        <x:v>OK</x:v>
      </x:c>
      <x:c r="L66" t="str">
        <x:v>Dummy input; replace with internal margin book</x:v>
      </x:c>
    </x:row>
    <x:row r="67">
      <x:c r="A67" t="str">
        <x:v>ACC064</x:v>
      </x:c>
      <x:c r="B67" t="str">
        <x:v>Group 05</x:v>
      </x:c>
      <x:c r="C67" t="str">
        <x:v>VHM</x:v>
      </x:c>
      <x:c r="D67" t="str">
        <x:v>Industrial</x:v>
      </x:c>
      <x:c r="E67" s="32" t="n">
        <x:v>95.8</x:v>
      </x:c>
      <x:c r="F67" s="32" t="n">
        <x:v>41.9</x:v>
      </x:c>
      <x:c r="G67" s="32" t="n">
        <x:f>E67-F67</x:f>
        <x:v>53.9</x:v>
      </x:c>
      <x:c r="H67" s="34" t="n">
        <x:f>IFERROR(G67/E67,0)</x:f>
        <x:v>0.5626304801670147</x:v>
      </x:c>
      <x:c r="I67" s="47" t="n">
        <x:v>0.35</x:v>
      </x:c>
      <x:c r="J67" s="34" t="n">
        <x:f>H67-I67</x:f>
        <x:v>0.2126304801670147</x:v>
      </x:c>
      <x:c r="K67" t="str">
        <x:f>IF(H67&lt;I67,"FORCED SELL",IF(H67&lt;I67+5%,"MARGIN CALL","OK"))</x:f>
        <x:v>OK</x:v>
      </x:c>
      <x:c r="L67" t="str">
        <x:v>Dummy input; replace with internal margin book</x:v>
      </x:c>
    </x:row>
    <x:row r="68">
      <x:c r="A68" t="str">
        <x:v>ACC065</x:v>
      </x:c>
      <x:c r="B68" t="str">
        <x:v>Group 14</x:v>
      </x:c>
      <x:c r="C68" t="str">
        <x:v>VND</x:v>
      </x:c>
      <x:c r="D68" t="str">
        <x:v>Real Estate</x:v>
      </x:c>
      <x:c r="E68" s="32" t="n">
        <x:v>80.5</x:v>
      </x:c>
      <x:c r="F68" s="32" t="n">
        <x:v>50.1</x:v>
      </x:c>
      <x:c r="G68" s="32" t="n">
        <x:f>E68-F68</x:f>
        <x:v>30.4</x:v>
      </x:c>
      <x:c r="H68" s="34" t="n">
        <x:f>IFERROR(G68/E68,0)</x:f>
        <x:v>0.377639751552795</x:v>
      </x:c>
      <x:c r="I68" s="47" t="n">
        <x:v>0.35</x:v>
      </x:c>
      <x:c r="J68" s="34" t="n">
        <x:f>H68-I68</x:f>
        <x:v>0.027639751552795022</x:v>
      </x:c>
      <x:c r="K68" t="str">
        <x:f>IF(H68&lt;I68,"FORCED SELL",IF(H68&lt;I68+5%,"MARGIN CALL","OK"))</x:f>
        <x:v>MARGIN CALL</x:v>
      </x:c>
      <x:c r="L68" t="str">
        <x:v>Dummy input; replace with internal margin book</x:v>
      </x:c>
    </x:row>
    <x:row r="69">
      <x:c r="A69" t="str">
        <x:v>ACC066</x:v>
      </x:c>
      <x:c r="B69" t="str">
        <x:v>Group 12</x:v>
      </x:c>
      <x:c r="C69" t="str">
        <x:v>SSI</x:v>
      </x:c>
      <x:c r="D69" t="str">
        <x:v>Consumer</x:v>
      </x:c>
      <x:c r="E69" s="32" t="n">
        <x:v>115</x:v>
      </x:c>
      <x:c r="F69" s="32" t="n">
        <x:v>48.1</x:v>
      </x:c>
      <x:c r="G69" s="32" t="n">
        <x:f>E69-F69</x:f>
        <x:v>66.9</x:v>
      </x:c>
      <x:c r="H69" s="34" t="n">
        <x:f>IFERROR(G69/E69,0)</x:f>
        <x:v>0.5817391304347826</x:v>
      </x:c>
      <x:c r="I69" s="47" t="n">
        <x:v>0.35</x:v>
      </x:c>
      <x:c r="J69" s="34" t="n">
        <x:f>H69-I69</x:f>
        <x:v>0.23173913043478267</x:v>
      </x:c>
      <x:c r="K69" t="str">
        <x:f>IF(H69&lt;I69,"FORCED SELL",IF(H69&lt;I69+5%,"MARGIN CALL","OK"))</x:f>
        <x:v>OK</x:v>
      </x:c>
      <x:c r="L69" t="str">
        <x:v>Dummy input; replace with internal margin book</x:v>
      </x:c>
    </x:row>
    <x:row r="70">
      <x:c r="A70" t="str">
        <x:v>ACC067</x:v>
      </x:c>
      <x:c r="B70" t="str">
        <x:v>Group 10</x:v>
      </x:c>
      <x:c r="C70" t="str">
        <x:v>MSN</x:v>
      </x:c>
      <x:c r="D70" t="str">
        <x:v>Technology</x:v>
      </x:c>
      <x:c r="E70" s="32" t="n">
        <x:v>115.9</x:v>
      </x:c>
      <x:c r="F70" s="32" t="n">
        <x:v>71.1</x:v>
      </x:c>
      <x:c r="G70" s="32" t="n">
        <x:f>E70-F70</x:f>
        <x:v>44.80000000000001</x:v>
      </x:c>
      <x:c r="H70" s="34" t="n">
        <x:f>IFERROR(G70/E70,0)</x:f>
        <x:v>0.3865401207937878</x:v>
      </x:c>
      <x:c r="I70" s="47" t="n">
        <x:v>0.35</x:v>
      </x:c>
      <x:c r="J70" s="34" t="n">
        <x:f>H70-I70</x:f>
        <x:v>0.03654012079378782</x:v>
      </x:c>
      <x:c r="K70" t="str">
        <x:f>IF(H70&lt;I70,"FORCED SELL",IF(H70&lt;I70+5%,"MARGIN CALL","OK"))</x:f>
        <x:v>MARGIN CALL</x:v>
      </x:c>
      <x:c r="L70" t="str">
        <x:v>Dummy input; replace with internal margin book</x:v>
      </x:c>
    </x:row>
    <x:row r="71">
      <x:c r="A71" t="str">
        <x:v>ACC068</x:v>
      </x:c>
      <x:c r="B71" t="str">
        <x:v>Group 14</x:v>
      </x:c>
      <x:c r="C71" t="str">
        <x:v>PDR</x:v>
      </x:c>
      <x:c r="D71" t="str">
        <x:v>Industrial</x:v>
      </x:c>
      <x:c r="E71" s="32" t="n">
        <x:v>8.6</x:v>
      </x:c>
      <x:c r="F71" s="32" t="n">
        <x:v>3.7</x:v>
      </x:c>
      <x:c r="G71" s="32" t="n">
        <x:f>E71-F71</x:f>
        <x:v>4.8999999999999995</x:v>
      </x:c>
      <x:c r="H71" s="34" t="n">
        <x:f>IFERROR(G71/E71,0)</x:f>
        <x:v>0.5697674418604651</x:v>
      </x:c>
      <x:c r="I71" s="47" t="n">
        <x:v>0.35</x:v>
      </x:c>
      <x:c r="J71" s="34" t="n">
        <x:f>H71-I71</x:f>
        <x:v>0.21976744186046515</x:v>
      </x:c>
      <x:c r="K71" t="str">
        <x:f>IF(H71&lt;I71,"FORCED SELL",IF(H71&lt;I71+5%,"MARGIN CALL","OK"))</x:f>
        <x:v>OK</x:v>
      </x:c>
      <x:c r="L71" t="str">
        <x:v>Dummy input; replace with internal margin book</x:v>
      </x:c>
    </x:row>
    <x:row r="72">
      <x:c r="A72" t="str">
        <x:v>ACC069</x:v>
      </x:c>
      <x:c r="B72" t="str">
        <x:v>Group 15</x:v>
      </x:c>
      <x:c r="C72" t="str">
        <x:v>SSI</x:v>
      </x:c>
      <x:c r="D72" t="str">
        <x:v>Consumer</x:v>
      </x:c>
      <x:c r="E72" s="32" t="n">
        <x:v>80</x:v>
      </x:c>
      <x:c r="F72" s="32" t="n">
        <x:v>27.4</x:v>
      </x:c>
      <x:c r="G72" s="32" t="n">
        <x:f>E72-F72</x:f>
        <x:v>52.6</x:v>
      </x:c>
      <x:c r="H72" s="34" t="n">
        <x:f>IFERROR(G72/E72,0)</x:f>
        <x:v>0.6575</x:v>
      </x:c>
      <x:c r="I72" s="47" t="n">
        <x:v>0.35</x:v>
      </x:c>
      <x:c r="J72" s="34" t="n">
        <x:f>H72-I72</x:f>
        <x:v>0.3075</x:v>
      </x:c>
      <x:c r="K72" t="str">
        <x:f>IF(H72&lt;I72,"FORCED SELL",IF(H72&lt;I72+5%,"MARGIN CALL","OK"))</x:f>
        <x:v>OK</x:v>
      </x:c>
      <x:c r="L72" t="str">
        <x:v>Dummy input; replace with internal margin book</x:v>
      </x:c>
    </x:row>
    <x:row r="73">
      <x:c r="A73" t="str">
        <x:v>ACC070</x:v>
      </x:c>
      <x:c r="B73" t="str">
        <x:v>Group 12</x:v>
      </x:c>
      <x:c r="C73" t="str">
        <x:v>MWG</x:v>
      </x:c>
      <x:c r="D73" t="str">
        <x:v>Banking</x:v>
      </x:c>
      <x:c r="E73" s="32" t="n">
        <x:v>117.9</x:v>
      </x:c>
      <x:c r="F73" s="32" t="n">
        <x:v>60.6</x:v>
      </x:c>
      <x:c r="G73" s="32" t="n">
        <x:f>E73-F73</x:f>
        <x:v>57.300000000000004</x:v>
      </x:c>
      <x:c r="H73" s="34" t="n">
        <x:f>IFERROR(G73/E73,0)</x:f>
        <x:v>0.4860050890585242</x:v>
      </x:c>
      <x:c r="I73" s="47" t="n">
        <x:v>0.35</x:v>
      </x:c>
      <x:c r="J73" s="34" t="n">
        <x:f>H73-I73</x:f>
        <x:v>0.1360050890585242</x:v>
      </x:c>
      <x:c r="K73" t="str">
        <x:f>IF(H73&lt;I73,"FORCED SELL",IF(H73&lt;I73+5%,"MARGIN CALL","OK"))</x:f>
        <x:v>OK</x:v>
      </x:c>
      <x:c r="L73" t="str">
        <x:v>Dummy input; replace with internal margin book</x:v>
      </x:c>
    </x:row>
    <x:row r="74">
      <x:c r="A74" t="str">
        <x:v>ACC071</x:v>
      </x:c>
      <x:c r="B74" t="str">
        <x:v>Group 01</x:v>
      </x:c>
      <x:c r="C74" t="str">
        <x:v>MBB</x:v>
      </x:c>
      <x:c r="D74" t="str">
        <x:v>Energy</x:v>
      </x:c>
      <x:c r="E74" s="32" t="n">
        <x:v>80.2</x:v>
      </x:c>
      <x:c r="F74" s="32" t="n">
        <x:v>31.2</x:v>
      </x:c>
      <x:c r="G74" s="32" t="n">
        <x:f>E74-F74</x:f>
        <x:v>49</x:v>
      </x:c>
      <x:c r="H74" s="34" t="n">
        <x:f>IFERROR(G74/E74,0)</x:f>
        <x:v>0.6109725685785536</x:v>
      </x:c>
      <x:c r="I74" s="47" t="n">
        <x:v>0.35</x:v>
      </x:c>
      <x:c r="J74" s="34" t="n">
        <x:f>H74-I74</x:f>
        <x:v>0.26097256857855367</x:v>
      </x:c>
      <x:c r="K74" t="str">
        <x:f>IF(H74&lt;I74,"FORCED SELL",IF(H74&lt;I74+5%,"MARGIN CALL","OK"))</x:f>
        <x:v>OK</x:v>
      </x:c>
      <x:c r="L74" t="str">
        <x:v>Dummy input; replace with internal margin book</x:v>
      </x:c>
    </x:row>
    <x:row r="75">
      <x:c r="A75" t="str">
        <x:v>ACC072</x:v>
      </x:c>
      <x:c r="B75" t="str">
        <x:v>Group 10</x:v>
      </x:c>
      <x:c r="C75" t="str">
        <x:v>DXG</x:v>
      </x:c>
      <x:c r="D75" t="str">
        <x:v>Steel</x:v>
      </x:c>
      <x:c r="E75" s="32" t="n">
        <x:v>39.5</x:v>
      </x:c>
      <x:c r="F75" s="32" t="n">
        <x:v>21.7</x:v>
      </x:c>
      <x:c r="G75" s="32" t="n">
        <x:f>E75-F75</x:f>
        <x:v>17.8</x:v>
      </x:c>
      <x:c r="H75" s="34" t="n">
        <x:f>IFERROR(G75/E75,0)</x:f>
        <x:v>0.4506329113924051</x:v>
      </x:c>
      <x:c r="I75" s="47" t="n">
        <x:v>0.35</x:v>
      </x:c>
      <x:c r="J75" s="34" t="n">
        <x:f>H75-I75</x:f>
        <x:v>0.1006329113924051</x:v>
      </x:c>
      <x:c r="K75" t="str">
        <x:f>IF(H75&lt;I75,"FORCED SELL",IF(H75&lt;I75+5%,"MARGIN CALL","OK"))</x:f>
        <x:v>OK</x:v>
      </x:c>
      <x:c r="L75" t="str">
        <x:v>Dummy input; replace with internal margin book</x:v>
      </x:c>
    </x:row>
    <x:row r="76">
      <x:c r="A76" t="str">
        <x:v>ACC073</x:v>
      </x:c>
      <x:c r="B76" t="str">
        <x:v>Group 10</x:v>
      </x:c>
      <x:c r="C76" t="str">
        <x:v>GEX</x:v>
      </x:c>
      <x:c r="D76" t="str">
        <x:v>Industrial</x:v>
      </x:c>
      <x:c r="E76" s="32" t="n">
        <x:v>111.7</x:v>
      </x:c>
      <x:c r="F76" s="32" t="n">
        <x:v>36.3</x:v>
      </x:c>
      <x:c r="G76" s="32" t="n">
        <x:f>E76-F76</x:f>
        <x:v>75.4</x:v>
      </x:c>
      <x:c r="H76" s="34" t="n">
        <x:f>IFERROR(G76/E76,0)</x:f>
        <x:v>0.675022381378693</x:v>
      </x:c>
      <x:c r="I76" s="47" t="n">
        <x:v>0.35</x:v>
      </x:c>
      <x:c r="J76" s="34" t="n">
        <x:f>H76-I76</x:f>
        <x:v>0.325022381378693</x:v>
      </x:c>
      <x:c r="K76" t="str">
        <x:f>IF(H76&lt;I76,"FORCED SELL",IF(H76&lt;I76+5%,"MARGIN CALL","OK"))</x:f>
        <x:v>OK</x:v>
      </x:c>
      <x:c r="L76" t="str">
        <x:v>Dummy input; replace with internal margin book</x:v>
      </x:c>
    </x:row>
    <x:row r="77">
      <x:c r="A77" t="str">
        <x:v>ACC074</x:v>
      </x:c>
      <x:c r="B77" t="str">
        <x:v>Group 08</x:v>
      </x:c>
      <x:c r="C77" t="str">
        <x:v>GEX</x:v>
      </x:c>
      <x:c r="D77" t="str">
        <x:v>Technology</x:v>
      </x:c>
      <x:c r="E77" s="32" t="n">
        <x:v>15.3</x:v>
      </x:c>
      <x:c r="F77" s="32" t="n">
        <x:v>8.3</x:v>
      </x:c>
      <x:c r="G77" s="32" t="n">
        <x:f>E77-F77</x:f>
        <x:v>7</x:v>
      </x:c>
      <x:c r="H77" s="34" t="n">
        <x:f>IFERROR(G77/E77,0)</x:f>
        <x:v>0.45751633986928103</x:v>
      </x:c>
      <x:c r="I77" s="47" t="n">
        <x:v>0.35</x:v>
      </x:c>
      <x:c r="J77" s="34" t="n">
        <x:f>H77-I77</x:f>
        <x:v>0.10751633986928105</x:v>
      </x:c>
      <x:c r="K77" t="str">
        <x:f>IF(H77&lt;I77,"FORCED SELL",IF(H77&lt;I77+5%,"MARGIN CALL","OK"))</x:f>
        <x:v>OK</x:v>
      </x:c>
      <x:c r="L77" t="str">
        <x:v>Dummy input; replace with internal margin book</x:v>
      </x:c>
    </x:row>
    <x:row r="78">
      <x:c r="A78" t="str">
        <x:v>ACC075</x:v>
      </x:c>
      <x:c r="B78" t="str">
        <x:v>Group 13</x:v>
      </x:c>
      <x:c r="C78" t="str">
        <x:v>TCB</x:v>
      </x:c>
      <x:c r="D78" t="str">
        <x:v>Banking</x:v>
      </x:c>
      <x:c r="E78" s="32" t="n">
        <x:v>29.7</x:v>
      </x:c>
      <x:c r="F78" s="32" t="n">
        <x:v>15.9</x:v>
      </x:c>
      <x:c r="G78" s="32" t="n">
        <x:f>E78-F78</x:f>
        <x:v>13.799999999999999</x:v>
      </x:c>
      <x:c r="H78" s="34" t="n">
        <x:f>IFERROR(G78/E78,0)</x:f>
        <x:v>0.46464646464646464</x:v>
      </x:c>
      <x:c r="I78" s="47" t="n">
        <x:v>0.35</x:v>
      </x:c>
      <x:c r="J78" s="34" t="n">
        <x:f>H78-I78</x:f>
        <x:v>0.11464646464646466</x:v>
      </x:c>
      <x:c r="K78" t="str">
        <x:f>IF(H78&lt;I78,"FORCED SELL",IF(H78&lt;I78+5%,"MARGIN CALL","OK"))</x:f>
        <x:v>OK</x:v>
      </x:c>
      <x:c r="L78" t="str">
        <x:v>Dummy input; replace with internal margin book</x:v>
      </x:c>
    </x:row>
    <x:row r="79">
      <x:c r="A79" t="str">
        <x:v>ACC076</x:v>
      </x:c>
      <x:c r="B79" t="str">
        <x:v>Group 05</x:v>
      </x:c>
      <x:c r="C79" t="str">
        <x:v>TCB</x:v>
      </x:c>
      <x:c r="D79" t="str">
        <x:v>Technology</x:v>
      </x:c>
      <x:c r="E79" s="32" t="n">
        <x:v>33.1</x:v>
      </x:c>
      <x:c r="F79" s="32" t="n">
        <x:v>13.7</x:v>
      </x:c>
      <x:c r="G79" s="32" t="n">
        <x:f>E79-F79</x:f>
        <x:v>19.400000000000002</x:v>
      </x:c>
      <x:c r="H79" s="34" t="n">
        <x:f>IFERROR(G79/E79,0)</x:f>
        <x:v>0.5861027190332326</x:v>
      </x:c>
      <x:c r="I79" s="47" t="n">
        <x:v>0.35</x:v>
      </x:c>
      <x:c r="J79" s="34" t="n">
        <x:f>H79-I79</x:f>
        <x:v>0.23610271903323266</x:v>
      </x:c>
      <x:c r="K79" t="str">
        <x:f>IF(H79&lt;I79,"FORCED SELL",IF(H79&lt;I79+5%,"MARGIN CALL","OK"))</x:f>
        <x:v>OK</x:v>
      </x:c>
      <x:c r="L79" t="str">
        <x:v>Dummy input; replace with internal margin book</x:v>
      </x:c>
    </x:row>
    <x:row r="80">
      <x:c r="A80" t="str">
        <x:v>ACC077</x:v>
      </x:c>
      <x:c r="B80" t="str">
        <x:v>Group 15</x:v>
      </x:c>
      <x:c r="C80" t="str">
        <x:v>PDR</x:v>
      </x:c>
      <x:c r="D80" t="str">
        <x:v>Consumer</x:v>
      </x:c>
      <x:c r="E80" s="32" t="n">
        <x:v>46.2</x:v>
      </x:c>
      <x:c r="F80" s="32" t="n">
        <x:v>24.2</x:v>
      </x:c>
      <x:c r="G80" s="32" t="n">
        <x:f>E80-F80</x:f>
        <x:v>22.000000000000004</x:v>
      </x:c>
      <x:c r="H80" s="34" t="n">
        <x:f>IFERROR(G80/E80,0)</x:f>
        <x:v>0.4761904761904762</x:v>
      </x:c>
      <x:c r="I80" s="47" t="n">
        <x:v>0.35</x:v>
      </x:c>
      <x:c r="J80" s="34" t="n">
        <x:f>H80-I80</x:f>
        <x:v>0.12619047619047624</x:v>
      </x:c>
      <x:c r="K80" t="str">
        <x:f>IF(H80&lt;I80,"FORCED SELL",IF(H80&lt;I80+5%,"MARGIN CALL","OK"))</x:f>
        <x:v>OK</x:v>
      </x:c>
      <x:c r="L80" t="str">
        <x:v>Dummy input; replace with internal margin book</x:v>
      </x:c>
    </x:row>
    <x:row r="81">
      <x:c r="A81" t="str">
        <x:v>ACC078</x:v>
      </x:c>
      <x:c r="B81" t="str">
        <x:v>Group 09</x:v>
      </x:c>
      <x:c r="C81" t="str">
        <x:v>SSI</x:v>
      </x:c>
      <x:c r="D81" t="str">
        <x:v>Technology</x:v>
      </x:c>
      <x:c r="E81" s="32" t="n">
        <x:v>82.5</x:v>
      </x:c>
      <x:c r="F81" s="32" t="n">
        <x:v>21.1</x:v>
      </x:c>
      <x:c r="G81" s="32" t="n">
        <x:f>E81-F81</x:f>
        <x:v>61.4</x:v>
      </x:c>
      <x:c r="H81" s="34" t="n">
        <x:f>IFERROR(G81/E81,0)</x:f>
        <x:v>0.7442424242424243</x:v>
      </x:c>
      <x:c r="I81" s="47" t="n">
        <x:v>0.35</x:v>
      </x:c>
      <x:c r="J81" s="34" t="n">
        <x:f>H81-I81</x:f>
        <x:v>0.3942424242424243</x:v>
      </x:c>
      <x:c r="K81" t="str">
        <x:f>IF(H81&lt;I81,"FORCED SELL",IF(H81&lt;I81+5%,"MARGIN CALL","OK"))</x:f>
        <x:v>OK</x:v>
      </x:c>
      <x:c r="L81" t="str">
        <x:v>Dummy input; replace with internal margin book</x:v>
      </x:c>
    </x:row>
    <x:row r="82">
      <x:c r="A82" t="str">
        <x:v>ACC079</x:v>
      </x:c>
      <x:c r="B82" t="str">
        <x:v>Group 20</x:v>
      </x:c>
      <x:c r="C82" t="str">
        <x:v>GAS</x:v>
      </x:c>
      <x:c r="D82" t="str">
        <x:v>Steel</x:v>
      </x:c>
      <x:c r="E82" s="32" t="n">
        <x:v>112.7</x:v>
      </x:c>
      <x:c r="F82" s="32" t="n">
        <x:v>58.5</x:v>
      </x:c>
      <x:c r="G82" s="32" t="n">
        <x:f>E82-F82</x:f>
        <x:v>54.2</x:v>
      </x:c>
      <x:c r="H82" s="34" t="n">
        <x:f>IFERROR(G82/E82,0)</x:f>
        <x:v>0.48092280390417036</x:v>
      </x:c>
      <x:c r="I82" s="47" t="n">
        <x:v>0.35</x:v>
      </x:c>
      <x:c r="J82" s="34" t="n">
        <x:f>H82-I82</x:f>
        <x:v>0.13092280390417038</x:v>
      </x:c>
      <x:c r="K82" t="str">
        <x:f>IF(H82&lt;I82,"FORCED SELL",IF(H82&lt;I82+5%,"MARGIN CALL","OK"))</x:f>
        <x:v>OK</x:v>
      </x:c>
      <x:c r="L82" t="str">
        <x:v>Dummy input; replace with internal margin book</x:v>
      </x:c>
    </x:row>
    <x:row r="83">
      <x:c r="A83" t="str">
        <x:v>ACC080</x:v>
      </x:c>
      <x:c r="B83" t="str">
        <x:v>Group 19</x:v>
      </x:c>
      <x:c r="C83" t="str">
        <x:v>VCB</x:v>
      </x:c>
      <x:c r="D83" t="str">
        <x:v>Industrial</x:v>
      </x:c>
      <x:c r="E83" s="32" t="n">
        <x:v>41.2</x:v>
      </x:c>
      <x:c r="F83" s="32" t="n">
        <x:v>14.5</x:v>
      </x:c>
      <x:c r="G83" s="32" t="n">
        <x:f>E83-F83</x:f>
        <x:v>26.700000000000003</x:v>
      </x:c>
      <x:c r="H83" s="34" t="n">
        <x:f>IFERROR(G83/E83,0)</x:f>
        <x:v>0.6480582524271845</x:v>
      </x:c>
      <x:c r="I83" s="47" t="n">
        <x:v>0.35</x:v>
      </x:c>
      <x:c r="J83" s="34" t="n">
        <x:f>H83-I83</x:f>
        <x:v>0.29805825242718453</x:v>
      </x:c>
      <x:c r="K83" t="str">
        <x:f>IF(H83&lt;I83,"FORCED SELL",IF(H83&lt;I83+5%,"MARGIN CALL","OK"))</x:f>
        <x:v>OK</x:v>
      </x:c>
      <x:c r="L83" t="str">
        <x:v>Dummy input; replace with internal margin book</x:v>
      </x:c>
    </x:row>
    <x:row r="84">
      <x:c r="A84" t="str">
        <x:v>ACC081</x:v>
      </x:c>
      <x:c r="B84" t="str">
        <x:v>Group 11</x:v>
      </x:c>
      <x:c r="C84" t="str">
        <x:v>VCB</x:v>
      </x:c>
      <x:c r="D84" t="str">
        <x:v>Banking</x:v>
      </x:c>
      <x:c r="E84" s="32" t="n">
        <x:v>46.7</x:v>
      </x:c>
      <x:c r="F84" s="32" t="n">
        <x:v>16.7</x:v>
      </x:c>
      <x:c r="G84" s="32" t="n">
        <x:f>E84-F84</x:f>
        <x:v>30.000000000000004</x:v>
      </x:c>
      <x:c r="H84" s="34" t="n">
        <x:f>IFERROR(G84/E84,0)</x:f>
        <x:v>0.6423982869379016</x:v>
      </x:c>
      <x:c r="I84" s="47" t="n">
        <x:v>0.35</x:v>
      </x:c>
      <x:c r="J84" s="34" t="n">
        <x:f>H84-I84</x:f>
        <x:v>0.2923982869379016</x:v>
      </x:c>
      <x:c r="K84" t="str">
        <x:f>IF(H84&lt;I84,"FORCED SELL",IF(H84&lt;I84+5%,"MARGIN CALL","OK"))</x:f>
        <x:v>OK</x:v>
      </x:c>
      <x:c r="L84" t="str">
        <x:v>Dummy input; replace with internal margin book</x:v>
      </x:c>
    </x:row>
    <x:row r="85">
      <x:c r="A85" t="str">
        <x:v>ACC082</x:v>
      </x:c>
      <x:c r="B85" t="str">
        <x:v>Group 03</x:v>
      </x:c>
      <x:c r="C85" t="str">
        <x:v>GEX</x:v>
      </x:c>
      <x:c r="D85" t="str">
        <x:v>Technology</x:v>
      </x:c>
      <x:c r="E85" s="32" t="n">
        <x:v>12.9</x:v>
      </x:c>
      <x:c r="F85" s="32" t="n">
        <x:v>4.9</x:v>
      </x:c>
      <x:c r="G85" s="32" t="n">
        <x:f>E85-F85</x:f>
        <x:v>8</x:v>
      </x:c>
      <x:c r="H85" s="34" t="n">
        <x:f>IFERROR(G85/E85,0)</x:f>
        <x:v>0.6201550387596899</x:v>
      </x:c>
      <x:c r="I85" s="47" t="n">
        <x:v>0.35</x:v>
      </x:c>
      <x:c r="J85" s="34" t="n">
        <x:f>H85-I85</x:f>
        <x:v>0.27015503875968994</x:v>
      </x:c>
      <x:c r="K85" t="str">
        <x:f>IF(H85&lt;I85,"FORCED SELL",IF(H85&lt;I85+5%,"MARGIN CALL","OK"))</x:f>
        <x:v>OK</x:v>
      </x:c>
      <x:c r="L85" t="str">
        <x:v>Dummy input; replace with internal margin book</x:v>
      </x:c>
    </x:row>
    <x:row r="86">
      <x:c r="A86" t="str">
        <x:v>ACC083</x:v>
      </x:c>
      <x:c r="B86" t="str">
        <x:v>Group 17</x:v>
      </x:c>
      <x:c r="C86" t="str">
        <x:v>MBB</x:v>
      </x:c>
      <x:c r="D86" t="str">
        <x:v>Energy</x:v>
      </x:c>
      <x:c r="E86" s="32" t="n">
        <x:v>10</x:v>
      </x:c>
      <x:c r="F86" s="32" t="n">
        <x:v>2.8</x:v>
      </x:c>
      <x:c r="G86" s="32" t="n">
        <x:f>E86-F86</x:f>
        <x:v>7.2</x:v>
      </x:c>
      <x:c r="H86" s="34" t="n">
        <x:f>IFERROR(G86/E86,0)</x:f>
        <x:v>0.72</x:v>
      </x:c>
      <x:c r="I86" s="47" t="n">
        <x:v>0.35</x:v>
      </x:c>
      <x:c r="J86" s="34" t="n">
        <x:f>H86-I86</x:f>
        <x:v>0.37</x:v>
      </x:c>
      <x:c r="K86" t="str">
        <x:f>IF(H86&lt;I86,"FORCED SELL",IF(H86&lt;I86+5%,"MARGIN CALL","OK"))</x:f>
        <x:v>OK</x:v>
      </x:c>
      <x:c r="L86" t="str">
        <x:v>Dummy input; replace with internal margin book</x:v>
      </x:c>
    </x:row>
    <x:row r="87">
      <x:c r="A87" t="str">
        <x:v>ACC084</x:v>
      </x:c>
      <x:c r="B87" t="str">
        <x:v>Group 10</x:v>
      </x:c>
      <x:c r="C87" t="str">
        <x:v>MBB</x:v>
      </x:c>
      <x:c r="D87" t="str">
        <x:v>Technology</x:v>
      </x:c>
      <x:c r="E87" s="32" t="n">
        <x:v>65.1</x:v>
      </x:c>
      <x:c r="F87" s="32" t="n">
        <x:v>18.5</x:v>
      </x:c>
      <x:c r="G87" s="32" t="n">
        <x:f>E87-F87</x:f>
        <x:v>46.599999999999994</x:v>
      </x:c>
      <x:c r="H87" s="34" t="n">
        <x:f>IFERROR(G87/E87,0)</x:f>
        <x:v>0.7158218125960061</x:v>
      </x:c>
      <x:c r="I87" s="47" t="n">
        <x:v>0.35</x:v>
      </x:c>
      <x:c r="J87" s="34" t="n">
        <x:f>H87-I87</x:f>
        <x:v>0.3658218125960061</x:v>
      </x:c>
      <x:c r="K87" t="str">
        <x:f>IF(H87&lt;I87,"FORCED SELL",IF(H87&lt;I87+5%,"MARGIN CALL","OK"))</x:f>
        <x:v>OK</x:v>
      </x:c>
      <x:c r="L87" t="str">
        <x:v>Dummy input; replace with internal margin book</x:v>
      </x:c>
    </x:row>
    <x:row r="88">
      <x:c r="A88" t="str">
        <x:v>ACC085</x:v>
      </x:c>
      <x:c r="B88" t="str">
        <x:v>Group 13</x:v>
      </x:c>
      <x:c r="C88" t="str">
        <x:v>PDR</x:v>
      </x:c>
      <x:c r="D88" t="str">
        <x:v>Consumer</x:v>
      </x:c>
      <x:c r="E88" s="32" t="n">
        <x:v>91.3</x:v>
      </x:c>
      <x:c r="F88" s="32" t="n">
        <x:v>24.2</x:v>
      </x:c>
      <x:c r="G88" s="32" t="n">
        <x:f>E88-F88</x:f>
        <x:v>67.1</x:v>
      </x:c>
      <x:c r="H88" s="34" t="n">
        <x:f>IFERROR(G88/E88,0)</x:f>
        <x:v>0.7349397590361445</x:v>
      </x:c>
      <x:c r="I88" s="47" t="n">
        <x:v>0.35</x:v>
      </x:c>
      <x:c r="J88" s="34" t="n">
        <x:f>H88-I88</x:f>
        <x:v>0.3849397590361445</x:v>
      </x:c>
      <x:c r="K88" t="str">
        <x:f>IF(H88&lt;I88,"FORCED SELL",IF(H88&lt;I88+5%,"MARGIN CALL","OK"))</x:f>
        <x:v>OK</x:v>
      </x:c>
      <x:c r="L88" t="str">
        <x:v>Dummy input; replace with internal margin book</x:v>
      </x:c>
    </x:row>
    <x:row r="89">
      <x:c r="A89" t="str">
        <x:v>ACC086</x:v>
      </x:c>
      <x:c r="B89" t="str">
        <x:v>Group 08</x:v>
      </x:c>
      <x:c r="C89" t="str">
        <x:v>GAS</x:v>
      </x:c>
      <x:c r="D89" t="str">
        <x:v>Technology</x:v>
      </x:c>
      <x:c r="E89" s="32" t="n">
        <x:v>84</x:v>
      </x:c>
      <x:c r="F89" s="32" t="n">
        <x:v>27.9</x:v>
      </x:c>
      <x:c r="G89" s="32" t="n">
        <x:f>E89-F89</x:f>
        <x:v>56.1</x:v>
      </x:c>
      <x:c r="H89" s="34" t="n">
        <x:f>IFERROR(G89/E89,0)</x:f>
        <x:v>0.6678571428571429</x:v>
      </x:c>
      <x:c r="I89" s="47" t="n">
        <x:v>0.35</x:v>
      </x:c>
      <x:c r="J89" s="34" t="n">
        <x:f>H89-I89</x:f>
        <x:v>0.31785714285714295</x:v>
      </x:c>
      <x:c r="K89" t="str">
        <x:f>IF(H89&lt;I89,"FORCED SELL",IF(H89&lt;I89+5%,"MARGIN CALL","OK"))</x:f>
        <x:v>OK</x:v>
      </x:c>
      <x:c r="L89" t="str">
        <x:v>Dummy input; replace with internal margin book</x:v>
      </x:c>
    </x:row>
    <x:row r="90">
      <x:c r="A90" t="str">
        <x:v>ACC087</x:v>
      </x:c>
      <x:c r="B90" t="str">
        <x:v>Group 10</x:v>
      </x:c>
      <x:c r="C90" t="str">
        <x:v>DXG</x:v>
      </x:c>
      <x:c r="D90" t="str">
        <x:v>Consumer</x:v>
      </x:c>
      <x:c r="E90" s="32" t="n">
        <x:v>25.4</x:v>
      </x:c>
      <x:c r="F90" s="32" t="n">
        <x:v>7</x:v>
      </x:c>
      <x:c r="G90" s="32" t="n">
        <x:f>E90-F90</x:f>
        <x:v>18.4</x:v>
      </x:c>
      <x:c r="H90" s="34" t="n">
        <x:f>IFERROR(G90/E90,0)</x:f>
        <x:v>0.7244094488188976</x:v>
      </x:c>
      <x:c r="I90" s="47" t="n">
        <x:v>0.35</x:v>
      </x:c>
      <x:c r="J90" s="34" t="n">
        <x:f>H90-I90</x:f>
        <x:v>0.3744094488188976</x:v>
      </x:c>
      <x:c r="K90" t="str">
        <x:f>IF(H90&lt;I90,"FORCED SELL",IF(H90&lt;I90+5%,"MARGIN CALL","OK"))</x:f>
        <x:v>OK</x:v>
      </x:c>
      <x:c r="L90" t="str">
        <x:v>Dummy input; replace with internal margin book</x:v>
      </x:c>
    </x:row>
    <x:row r="91">
      <x:c r="A91" t="str">
        <x:v>ACC088</x:v>
      </x:c>
      <x:c r="B91" t="str">
        <x:v>Group 14</x:v>
      </x:c>
      <x:c r="C91" t="str">
        <x:v>SSI</x:v>
      </x:c>
      <x:c r="D91" t="str">
        <x:v>Consumer</x:v>
      </x:c>
      <x:c r="E91" s="32" t="n">
        <x:v>55.4</x:v>
      </x:c>
      <x:c r="F91" s="32" t="n">
        <x:v>28.7</x:v>
      </x:c>
      <x:c r="G91" s="32" t="n">
        <x:f>E91-F91</x:f>
        <x:v>26.7</x:v>
      </x:c>
      <x:c r="H91" s="34" t="n">
        <x:f>IFERROR(G91/E91,0)</x:f>
        <x:v>0.48194945848375453</x:v>
      </x:c>
      <x:c r="I91" s="47" t="n">
        <x:v>0.35</x:v>
      </x:c>
      <x:c r="J91" s="34" t="n">
        <x:f>H91-I91</x:f>
        <x:v>0.13194945848375456</x:v>
      </x:c>
      <x:c r="K91" t="str">
        <x:f>IF(H91&lt;I91,"FORCED SELL",IF(H91&lt;I91+5%,"MARGIN CALL","OK"))</x:f>
        <x:v>OK</x:v>
      </x:c>
      <x:c r="L91" t="str">
        <x:v>Dummy input; replace with internal margin book</x:v>
      </x:c>
    </x:row>
    <x:row r="92">
      <x:c r="A92" t="str">
        <x:v>ACC089</x:v>
      </x:c>
      <x:c r="B92" t="str">
        <x:v>Group 15</x:v>
      </x:c>
      <x:c r="C92" t="str">
        <x:v>MSN</x:v>
      </x:c>
      <x:c r="D92" t="str">
        <x:v>Energy</x:v>
      </x:c>
      <x:c r="E92" s="32" t="n">
        <x:v>104.2</x:v>
      </x:c>
      <x:c r="F92" s="32" t="n">
        <x:v>52.3</x:v>
      </x:c>
      <x:c r="G92" s="32" t="n">
        <x:f>E92-F92</x:f>
        <x:v>51.900000000000006</x:v>
      </x:c>
      <x:c r="H92" s="34" t="n">
        <x:f>IFERROR(G92/E92,0)</x:f>
        <x:v>0.49808061420345495</x:v>
      </x:c>
      <x:c r="I92" s="47" t="n">
        <x:v>0.35</x:v>
      </x:c>
      <x:c r="J92" s="34" t="n">
        <x:f>H92-I92</x:f>
        <x:v>0.14808061420345497</x:v>
      </x:c>
      <x:c r="K92" t="str">
        <x:f>IF(H92&lt;I92,"FORCED SELL",IF(H92&lt;I92+5%,"MARGIN CALL","OK"))</x:f>
        <x:v>OK</x:v>
      </x:c>
      <x:c r="L92" t="str">
        <x:v>Dummy input; replace with internal margin book</x:v>
      </x:c>
    </x:row>
    <x:row r="93">
      <x:c r="A93" t="str">
        <x:v>ACC090</x:v>
      </x:c>
      <x:c r="B93" t="str">
        <x:v>Group 13</x:v>
      </x:c>
      <x:c r="C93" t="str">
        <x:v>HDB</x:v>
      </x:c>
      <x:c r="D93" t="str">
        <x:v>Real Estate</x:v>
      </x:c>
      <x:c r="E93" s="32" t="n">
        <x:v>11.2</x:v>
      </x:c>
      <x:c r="F93" s="32" t="n">
        <x:v>3.4</x:v>
      </x:c>
      <x:c r="G93" s="32" t="n">
        <x:f>E93-F93</x:f>
        <x:v>7.799999999999999</x:v>
      </x:c>
      <x:c r="H93" s="34" t="n">
        <x:f>IFERROR(G93/E93,0)</x:f>
        <x:v>0.6964285714285714</x:v>
      </x:c>
      <x:c r="I93" s="47" t="n">
        <x:v>0.35</x:v>
      </x:c>
      <x:c r="J93" s="34" t="n">
        <x:f>H93-I93</x:f>
        <x:v>0.3464285714285714</x:v>
      </x:c>
      <x:c r="K93" t="str">
        <x:f>IF(H93&lt;I93,"FORCED SELL",IF(H93&lt;I93+5%,"MARGIN CALL","OK"))</x:f>
        <x:v>OK</x:v>
      </x:c>
      <x:c r="L93" t="str">
        <x:v>Dummy input; replace with internal margin book</x:v>
      </x:c>
    </x:row>
    <x:row r="94">
      <x:c r="A94" t="str">
        <x:v>ACC091</x:v>
      </x:c>
      <x:c r="B94" t="str">
        <x:v>Group 12</x:v>
      </x:c>
      <x:c r="C94" t="str">
        <x:v>FPT</x:v>
      </x:c>
      <x:c r="D94" t="str">
        <x:v>Technology</x:v>
      </x:c>
      <x:c r="E94" s="32" t="n">
        <x:v>81.7</x:v>
      </x:c>
      <x:c r="F94" s="32" t="n">
        <x:v>38.1</x:v>
      </x:c>
      <x:c r="G94" s="32" t="n">
        <x:f>E94-F94</x:f>
        <x:v>43.6</x:v>
      </x:c>
      <x:c r="H94" s="34" t="n">
        <x:f>IFERROR(G94/E94,0)</x:f>
        <x:v>0.5336597307221542</x:v>
      </x:c>
      <x:c r="I94" s="47" t="n">
        <x:v>0.35</x:v>
      </x:c>
      <x:c r="J94" s="34" t="n">
        <x:f>H94-I94</x:f>
        <x:v>0.18365973072215425</x:v>
      </x:c>
      <x:c r="K94" t="str">
        <x:f>IF(H94&lt;I94,"FORCED SELL",IF(H94&lt;I94+5%,"MARGIN CALL","OK"))</x:f>
        <x:v>OK</x:v>
      </x:c>
      <x:c r="L94" t="str">
        <x:v>Dummy input; replace with internal margin book</x:v>
      </x:c>
    </x:row>
    <x:row r="95">
      <x:c r="A95" t="str">
        <x:v>ACC092</x:v>
      </x:c>
      <x:c r="B95" t="str">
        <x:v>Group 11</x:v>
      </x:c>
      <x:c r="C95" t="str">
        <x:v>SSI</x:v>
      </x:c>
      <x:c r="D95" t="str">
        <x:v>Consumer</x:v>
      </x:c>
      <x:c r="E95" s="32" t="n">
        <x:v>35.7</x:v>
      </x:c>
      <x:c r="F95" s="32" t="n">
        <x:v>10.5</x:v>
      </x:c>
      <x:c r="G95" s="32" t="n">
        <x:f>E95-F95</x:f>
        <x:v>25.200000000000003</x:v>
      </x:c>
      <x:c r="H95" s="34" t="n">
        <x:f>IFERROR(G95/E95,0)</x:f>
        <x:v>0.7058823529411765</x:v>
      </x:c>
      <x:c r="I95" s="47" t="n">
        <x:v>0.35</x:v>
      </x:c>
      <x:c r="J95" s="34" t="n">
        <x:f>H95-I95</x:f>
        <x:v>0.35588235294117654</x:v>
      </x:c>
      <x:c r="K95" t="str">
        <x:f>IF(H95&lt;I95,"FORCED SELL",IF(H95&lt;I95+5%,"MARGIN CALL","OK"))</x:f>
        <x:v>OK</x:v>
      </x:c>
      <x:c r="L95" t="str">
        <x:v>Dummy input; replace with internal margin book</x:v>
      </x:c>
    </x:row>
    <x:row r="96">
      <x:c r="A96" t="str">
        <x:v>ACC093</x:v>
      </x:c>
      <x:c r="B96" t="str">
        <x:v>Group 13</x:v>
      </x:c>
      <x:c r="C96" t="str">
        <x:v>MBB</x:v>
      </x:c>
      <x:c r="D96" t="str">
        <x:v>Securities</x:v>
      </x:c>
      <x:c r="E96" s="32" t="n">
        <x:v>57.4</x:v>
      </x:c>
      <x:c r="F96" s="32" t="n">
        <x:v>32.5</x:v>
      </x:c>
      <x:c r="G96" s="32" t="n">
        <x:f>E96-F96</x:f>
        <x:v>24.9</x:v>
      </x:c>
      <x:c r="H96" s="34" t="n">
        <x:f>IFERROR(G96/E96,0)</x:f>
        <x:v>0.4337979094076655</x:v>
      </x:c>
      <x:c r="I96" s="47" t="n">
        <x:v>0.35</x:v>
      </x:c>
      <x:c r="J96" s="34" t="n">
        <x:f>H96-I96</x:f>
        <x:v>0.08379790940766552</x:v>
      </x:c>
      <x:c r="K96" t="str">
        <x:f>IF(H96&lt;I96,"FORCED SELL",IF(H96&lt;I96+5%,"MARGIN CALL","OK"))</x:f>
        <x:v>OK</x:v>
      </x:c>
      <x:c r="L96" t="str">
        <x:v>Dummy input; replace with internal margin book</x:v>
      </x:c>
    </x:row>
    <x:row r="97">
      <x:c r="A97" t="str">
        <x:v>ACC094</x:v>
      </x:c>
      <x:c r="B97" t="str">
        <x:v>Group 19</x:v>
      </x:c>
      <x:c r="C97" t="str">
        <x:v>MBB</x:v>
      </x:c>
      <x:c r="D97" t="str">
        <x:v>Consumer</x:v>
      </x:c>
      <x:c r="E97" s="32" t="n">
        <x:v>11.1</x:v>
      </x:c>
      <x:c r="F97" s="32" t="n">
        <x:v>3.6</x:v>
      </x:c>
      <x:c r="G97" s="32" t="n">
        <x:f>E97-F97</x:f>
        <x:v>7.5</x:v>
      </x:c>
      <x:c r="H97" s="34" t="n">
        <x:f>IFERROR(G97/E97,0)</x:f>
        <x:v>0.6756756756756757</x:v>
      </x:c>
      <x:c r="I97" s="47" t="n">
        <x:v>0.35</x:v>
      </x:c>
      <x:c r="J97" s="34" t="n">
        <x:f>H97-I97</x:f>
        <x:v>0.3256756756756757</x:v>
      </x:c>
      <x:c r="K97" t="str">
        <x:f>IF(H97&lt;I97,"FORCED SELL",IF(H97&lt;I97+5%,"MARGIN CALL","OK"))</x:f>
        <x:v>OK</x:v>
      </x:c>
      <x:c r="L97" t="str">
        <x:v>Dummy input; replace with internal margin book</x:v>
      </x:c>
    </x:row>
    <x:row r="98">
      <x:c r="A98" t="str">
        <x:v>ACC095</x:v>
      </x:c>
      <x:c r="B98" t="str">
        <x:v>Group 11</x:v>
      </x:c>
      <x:c r="C98" t="str">
        <x:v>VND</x:v>
      </x:c>
      <x:c r="D98" t="str">
        <x:v>Real Estate</x:v>
      </x:c>
      <x:c r="E98" s="32" t="n">
        <x:v>71.4</x:v>
      </x:c>
      <x:c r="F98" s="32" t="n">
        <x:v>30</x:v>
      </x:c>
      <x:c r="G98" s="32" t="n">
        <x:f>E98-F98</x:f>
        <x:v>41.400000000000006</x:v>
      </x:c>
      <x:c r="H98" s="34" t="n">
        <x:f>IFERROR(G98/E98,0)</x:f>
        <x:v>0.5798319327731093</x:v>
      </x:c>
      <x:c r="I98" s="47" t="n">
        <x:v>0.35</x:v>
      </x:c>
      <x:c r="J98" s="34" t="n">
        <x:f>H98-I98</x:f>
        <x:v>0.22983193277310932</x:v>
      </x:c>
      <x:c r="K98" t="str">
        <x:f>IF(H98&lt;I98,"FORCED SELL",IF(H98&lt;I98+5%,"MARGIN CALL","OK"))</x:f>
        <x:v>OK</x:v>
      </x:c>
      <x:c r="L98" t="str">
        <x:v>Dummy input; replace with internal margin book</x:v>
      </x:c>
    </x:row>
    <x:row r="99">
      <x:c r="A99" t="str">
        <x:v>ACC096</x:v>
      </x:c>
      <x:c r="B99" t="str">
        <x:v>Group 06</x:v>
      </x:c>
      <x:c r="C99" t="str">
        <x:v>VCB</x:v>
      </x:c>
      <x:c r="D99" t="str">
        <x:v>Banking</x:v>
      </x:c>
      <x:c r="E99" s="32" t="n">
        <x:v>28.3</x:v>
      </x:c>
      <x:c r="F99" s="32" t="n">
        <x:v>9</x:v>
      </x:c>
      <x:c r="G99" s="32" t="n">
        <x:f>E99-F99</x:f>
        <x:v>19.3</x:v>
      </x:c>
      <x:c r="H99" s="34" t="n">
        <x:f>IFERROR(G99/E99,0)</x:f>
        <x:v>0.6819787985865724</x:v>
      </x:c>
      <x:c r="I99" s="47" t="n">
        <x:v>0.35</x:v>
      </x:c>
      <x:c r="J99" s="34" t="n">
        <x:f>H99-I99</x:f>
        <x:v>0.3319787985865724</x:v>
      </x:c>
      <x:c r="K99" t="str">
        <x:f>IF(H99&lt;I99,"FORCED SELL",IF(H99&lt;I99+5%,"MARGIN CALL","OK"))</x:f>
        <x:v>OK</x:v>
      </x:c>
      <x:c r="L99" t="str">
        <x:v>Dummy input; replace with internal margin book</x:v>
      </x:c>
    </x:row>
    <x:row r="100">
      <x:c r="A100" t="str">
        <x:v>ACC097</x:v>
      </x:c>
      <x:c r="B100" t="str">
        <x:v>Group 12</x:v>
      </x:c>
      <x:c r="C100" t="str">
        <x:v>MSN</x:v>
      </x:c>
      <x:c r="D100" t="str">
        <x:v>Industrial</x:v>
      </x:c>
      <x:c r="E100" s="32" t="n">
        <x:v>90.3</x:v>
      </x:c>
      <x:c r="F100" s="32" t="n">
        <x:v>39.7</x:v>
      </x:c>
      <x:c r="G100" s="32" t="n">
        <x:f>E100-F100</x:f>
        <x:v>50.599999999999994</x:v>
      </x:c>
      <x:c r="H100" s="34" t="n">
        <x:f>IFERROR(G100/E100,0)</x:f>
        <x:v>0.5603543743078626</x:v>
      </x:c>
      <x:c r="I100" s="47" t="n">
        <x:v>0.35</x:v>
      </x:c>
      <x:c r="J100" s="34" t="n">
        <x:f>H100-I100</x:f>
        <x:v>0.21035437430786263</x:v>
      </x:c>
      <x:c r="K100" t="str">
        <x:f>IF(H100&lt;I100,"FORCED SELL",IF(H100&lt;I100+5%,"MARGIN CALL","OK"))</x:f>
        <x:v>OK</x:v>
      </x:c>
      <x:c r="L100" t="str">
        <x:v>Dummy input; replace with internal margin book</x:v>
      </x:c>
    </x:row>
    <x:row r="101">
      <x:c r="A101" t="str">
        <x:v>ACC098</x:v>
      </x:c>
      <x:c r="B101" t="str">
        <x:v>Group 12</x:v>
      </x:c>
      <x:c r="C101" t="str">
        <x:v>DXG</x:v>
      </x:c>
      <x:c r="D101" t="str">
        <x:v>Energy</x:v>
      </x:c>
      <x:c r="E101" s="32" t="n">
        <x:v>9.4</x:v>
      </x:c>
      <x:c r="F101" s="32" t="n">
        <x:v>5.7</x:v>
      </x:c>
      <x:c r="G101" s="32" t="n">
        <x:f>E101-F101</x:f>
        <x:v>3.7</x:v>
      </x:c>
      <x:c r="H101" s="34" t="n">
        <x:f>IFERROR(G101/E101,0)</x:f>
        <x:v>0.39361702127659576</x:v>
      </x:c>
      <x:c r="I101" s="47" t="n">
        <x:v>0.35</x:v>
      </x:c>
      <x:c r="J101" s="34" t="n">
        <x:f>H101-I101</x:f>
        <x:v>0.04361702127659578</x:v>
      </x:c>
      <x:c r="K101" t="str">
        <x:f>IF(H101&lt;I101,"FORCED SELL",IF(H101&lt;I101+5%,"MARGIN CALL","OK"))</x:f>
        <x:v>MARGIN CALL</x:v>
      </x:c>
      <x:c r="L101" t="str">
        <x:v>Dummy input; replace with internal margin book</x:v>
      </x:c>
    </x:row>
    <x:row r="102">
      <x:c r="A102" t="str">
        <x:v>ACC099</x:v>
      </x:c>
      <x:c r="B102" t="str">
        <x:v>Group 06</x:v>
      </x:c>
      <x:c r="C102" t="str">
        <x:v>TCB</x:v>
      </x:c>
      <x:c r="D102" t="str">
        <x:v>Securities</x:v>
      </x:c>
      <x:c r="E102" s="32" t="n">
        <x:v>19.2</x:v>
      </x:c>
      <x:c r="F102" s="32" t="n">
        <x:v>11.5</x:v>
      </x:c>
      <x:c r="G102" s="32" t="n">
        <x:f>E102-F102</x:f>
        <x:v>7.699999999999999</x:v>
      </x:c>
      <x:c r="H102" s="34" t="n">
        <x:f>IFERROR(G102/E102,0)</x:f>
        <x:v>0.40104166666666663</x:v>
      </x:c>
      <x:c r="I102" s="47" t="n">
        <x:v>0.35</x:v>
      </x:c>
      <x:c r="J102" s="34" t="n">
        <x:f>H102-I102</x:f>
        <x:v>0.05104166666666665</x:v>
      </x:c>
      <x:c r="K102" t="str">
        <x:f>IF(H102&lt;I102,"FORCED SELL",IF(H102&lt;I102+5%,"MARGIN CALL","OK"))</x:f>
        <x:v>OK</x:v>
      </x:c>
      <x:c r="L102" t="str">
        <x:v>Dummy input; replace with internal margin book</x:v>
      </x:c>
    </x:row>
    <x:row r="103">
      <x:c r="A103" t="str">
        <x:v>ACC100</x:v>
      </x:c>
      <x:c r="B103" t="str">
        <x:v>Group 08</x:v>
      </x:c>
      <x:c r="C103" t="str">
        <x:v>PDR</x:v>
      </x:c>
      <x:c r="D103" t="str">
        <x:v>Banking</x:v>
      </x:c>
      <x:c r="E103" s="32" t="n">
        <x:v>49.1</x:v>
      </x:c>
      <x:c r="F103" s="32" t="n">
        <x:v>25.4</x:v>
      </x:c>
      <x:c r="G103" s="32" t="n">
        <x:f>E103-F103</x:f>
        <x:v>23.700000000000003</x:v>
      </x:c>
      <x:c r="H103" s="34" t="n">
        <x:f>IFERROR(G103/E103,0)</x:f>
        <x:v>0.4826883910386966</x:v>
      </x:c>
      <x:c r="I103" s="47" t="n">
        <x:v>0.35</x:v>
      </x:c>
      <x:c r="J103" s="34" t="n">
        <x:f>H103-I103</x:f>
        <x:v>0.13268839103869662</x:v>
      </x:c>
      <x:c r="K103" t="str">
        <x:f>IF(H103&lt;I103,"FORCED SELL",IF(H103&lt;I103+5%,"MARGIN CALL","OK"))</x:f>
        <x:v>OK</x:v>
      </x:c>
      <x:c r="L103" t="str">
        <x:v>Dummy input; replace with internal margin book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7058b3e5d99e427f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31.219999313354492" hidden="0" customWidth="1"/>
    <x:col min="2" max="2" width="14.539999961853027" hidden="0" customWidth="1"/>
    <x:col min="3" max="3" width="12.520000457763672" hidden="0" customWidth="1"/>
    <x:col min="4" max="4" width="21.940000534057617" hidden="0" customWidth="1"/>
    <x:col min="5" max="5" width="16.959999084472656" hidden="0" customWidth="1"/>
  </x:cols>
  <x:sheetData>
    <x:row r="1">
      <x:c r="A1" s="70" t="str">
        <x:v>Liquidity Risk Engine</x:v>
      </x:c>
      <x:c r="B1" s="10"/>
      <x:c r="C1" s="10"/>
      <x:c r="D1" s="10"/>
      <x:c r="E1" s="10"/>
      <x:c r="F1" s="10"/>
      <x:c r="G1" s="10"/>
      <x:c r="H1" s="10"/>
      <x:c r="I1" s="10"/>
      <x:c r="J1" s="10"/>
      <x:c r="K1" s="10"/>
      <x:c r="L1" s="10"/>
      <x:c r="M1" s="10"/>
      <x:c r="N1" s="10"/>
      <x:c r="O1" s="10"/>
      <x:c r="P1" s="10"/>
      <x:c r="Q1" s="10"/>
      <x:c r="R1" s="10"/>
      <x:c r="S1" s="10"/>
      <x:c r="T1" s="10"/>
      <x:c r="U1" s="10"/>
      <x:c r="V1" s="10"/>
      <x:c r="W1" s="10"/>
      <x:c r="X1" s="10"/>
      <x:c r="Y1" s="10"/>
      <x:c r="Z1" s="10"/>
    </x:row>
    <x:row r="3">
      <x:c r="A3" s="20" t="str">
        <x:v>Item</x:v>
      </x:c>
      <x:c r="B3" s="20" t="str">
        <x:v>Amount (VND bn)</x:v>
      </x:c>
      <x:c r="C3" s="20" t="str">
        <x:v>Haircut / Stress</x:v>
      </x:c>
      <x:c r="D3" s="20" t="str">
        <x:v>Stressed Amount (VND bn)</x:v>
      </x:c>
      <x:c r="E3" s="20" t="str">
        <x:v>Notes</x:v>
      </x:c>
    </x:row>
    <x:row r="4">
      <x:c r="A4" t="str">
        <x:v>Cash and bank deposits</x:v>
      </x:c>
      <x:c r="B4" s="52" t="n">
        <x:v>800</x:v>
      </x:c>
      <x:c r="C4" s="52" t="n">
        <x:v>1</x:v>
      </x:c>
      <x:c r="D4" s="53" t="n">
        <x:f>B4*C4</x:f>
        <x:v>800</x:v>
      </x:c>
      <x:c r="E4" t="str">
        <x:v>Internal input</x:v>
      </x:c>
    </x:row>
    <x:row r="5">
      <x:c r="A5" t="str">
        <x:v>Available credit lines</x:v>
      </x:c>
      <x:c r="B5" s="52" t="n">
        <x:v>500</x:v>
      </x:c>
      <x:c r="C5" s="52" t="n">
        <x:v>0.8</x:v>
      </x:c>
      <x:c r="D5" s="53" t="n">
        <x:f>B5*C5</x:f>
        <x:v>400</x:v>
      </x:c>
      <x:c r="E5" t="str">
        <x:v>Internal input</x:v>
      </x:c>
    </x:row>
    <x:row r="6">
      <x:c r="A6" t="str">
        <x:v>Liquid proprietary securities</x:v>
      </x:c>
      <x:c r="B6" s="52" t="n">
        <x:v>350</x:v>
      </x:c>
      <x:c r="C6" s="52" t="n">
        <x:v>0.7</x:v>
      </x:c>
      <x:c r="D6" s="53" t="n">
        <x:f>B6*C6</x:f>
        <x:v>244.99999999999997</x:v>
      </x:c>
      <x:c r="E6" t="str">
        <x:v>Internal input</x:v>
      </x:c>
    </x:row>
    <x:row r="7">
      <x:c r="A7" t="str">
        <x:v>Expected brokerage/margin inflow 30D</x:v>
      </x:c>
      <x:c r="B7" s="52" t="n">
        <x:v>250</x:v>
      </x:c>
      <x:c r="C7" s="52" t="n">
        <x:v>0.7</x:v>
      </x:c>
      <x:c r="D7" s="53" t="n">
        <x:f>B7*C7</x:f>
        <x:v>175</x:v>
      </x:c>
      <x:c r="E7" t="str">
        <x:v>Internal input</x:v>
      </x:c>
    </x:row>
    <x:row r="8">
      <x:c r="A8" t="str">
        <x:v>Margin funding outflow 30D</x:v>
      </x:c>
      <x:c r="B8" s="52" t="n">
        <x:v>900</x:v>
      </x:c>
      <x:c r="C8" s="52" t="n">
        <x:v>1</x:v>
      </x:c>
      <x:c r="D8" s="53" t="n">
        <x:f>B8*C8</x:f>
        <x:v>900</x:v>
      </x:c>
      <x:c r="E8" t="str">
        <x:v>Internal input</x:v>
      </x:c>
    </x:row>
    <x:row r="9">
      <x:c r="A9" t="str">
        <x:v>Settlement payable 30D</x:v>
      </x:c>
      <x:c r="B9" s="52" t="n">
        <x:v>250</x:v>
      </x:c>
      <x:c r="C9" s="52" t="n">
        <x:v>1</x:v>
      </x:c>
      <x:c r="D9" s="53" t="n">
        <x:f>B9*C9</x:f>
        <x:v>250</x:v>
      </x:c>
      <x:c r="E9" t="str">
        <x:v>Internal input</x:v>
      </x:c>
    </x:row>
    <x:row r="10">
      <x:c r="A10" t="str">
        <x:v>Operating cash outflow 30D</x:v>
      </x:c>
      <x:c r="B10" s="52" t="n">
        <x:v>80</x:v>
      </x:c>
      <x:c r="C10" s="52" t="n">
        <x:v>1</x:v>
      </x:c>
      <x:c r="D10" s="53" t="n">
        <x:f>B10*C10</x:f>
        <x:v>80</x:v>
      </x:c>
      <x:c r="E10" t="str">
        <x:v>Internal input</x:v>
      </x:c>
    </x:row>
    <x:row r="11">
      <x:c r="A11" t="str">
        <x:v>Stress add-on</x:v>
      </x:c>
      <x:c r="B11" s="52" t="n">
        <x:v>150</x:v>
      </x:c>
      <x:c r="C11" s="52" t="n">
        <x:v>1</x:v>
      </x:c>
      <x:c r="D11" s="53" t="n">
        <x:f>B11*C11</x:f>
        <x:v>150</x:v>
      </x:c>
      <x:c r="E11" t="str">
        <x:v>Management overlay</x:v>
      </x:c>
    </x:row>
    <x:row r="12">
      <x:c r="A12" t="str">
        <x:v>Liquidity Coverage Ratio</x:v>
      </x:c>
      <x:c r="B12" s="34" t="n">
        <x:f>SUM(D4:D7)/SUM(D8:D11)</x:f>
        <x:v>1.173913043478261</x:v>
      </x:c>
      <x:c r="C12" s="34" t="str"/>
      <x:c r="D12" s="56" t="str"/>
      <x:c r="E12" t="str">
        <x:v>Formula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25d21231e95942b3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29.8799991607666" hidden="0" customWidth="1"/>
    <x:col min="2" max="2" width="8.880000114440918" hidden="0" customWidth="1"/>
    <x:col min="3" max="3" width="11.979999542236328" hidden="0" customWidth="1"/>
    <x:col min="4" max="4" width="10.899999618530273" hidden="0" customWidth="1"/>
    <x:col min="5" max="5" width="14.130000114440918" hidden="0" customWidth="1"/>
    <x:col min="6" max="6" width="6.730000019073486" hidden="0" customWidth="1"/>
    <x:col min="7" max="7" width="10.09000015258789" hidden="0" customWidth="1"/>
    <x:col min="8" max="8" width="36.20000076293945" hidden="0" customWidth="1"/>
    <x:col min="10" max="10" width="18.709999084472656" hidden="0" customWidth="1"/>
    <x:col min="11" max="11" width="4.440000057220459" hidden="0" customWidth="1"/>
  </x:cols>
  <x:sheetData>
    <x:row r="1">
      <x:c r="A1" s="70" t="str">
        <x:v>Operational Risk and Incident Log</x:v>
      </x:c>
      <x:c r="B1" s="10"/>
      <x:c r="C1" s="10"/>
      <x:c r="D1" s="10"/>
      <x:c r="E1" s="10"/>
      <x:c r="F1" s="10"/>
      <x:c r="G1" s="10"/>
      <x:c r="H1" s="10"/>
      <x:c r="I1" s="10"/>
      <x:c r="J1" s="10"/>
      <x:c r="K1" s="10"/>
      <x:c r="L1" s="10"/>
      <x:c r="M1" s="10"/>
      <x:c r="N1" s="10"/>
      <x:c r="O1" s="10"/>
      <x:c r="P1" s="10"/>
      <x:c r="Q1" s="10"/>
      <x:c r="R1" s="10"/>
      <x:c r="S1" s="10"/>
      <x:c r="T1" s="10"/>
      <x:c r="U1" s="10"/>
      <x:c r="V1" s="10"/>
      <x:c r="W1" s="10"/>
      <x:c r="X1" s="10"/>
      <x:c r="Y1" s="10"/>
      <x:c r="Z1" s="10"/>
    </x:row>
    <x:row r="3">
      <x:c r="A3" s="20" t="str">
        <x:v>Date</x:v>
      </x:c>
      <x:c r="B3" s="20" t="str">
        <x:v>Risk Event</x:v>
      </x:c>
      <x:c r="C3" s="20" t="str">
        <x:v>Category</x:v>
      </x:c>
      <x:c r="D3" s="20" t="str">
        <x:v>Business Unit</x:v>
      </x:c>
      <x:c r="E3" s="20" t="str">
        <x:v>Impact (VND mn)</x:v>
      </x:c>
      <x:c r="F3" s="20" t="str">
        <x:v>Severity</x:v>
      </x:c>
      <x:c r="G3" s="20" t="str">
        <x:v>Status</x:v>
      </x:c>
      <x:c r="H3" s="20" t="str">
        <x:v>Root Cause / Action</x:v>
      </x:c>
      <x:c r="J3" s="20" t="str">
        <x:v>Metric</x:v>
      </x:c>
      <x:c r="K3" s="20" t="str">
        <x:v>Value</x:v>
      </x:c>
    </x:row>
    <x:row r="4">
      <x:c r="A4" s="58" t="n">
        <x:v>46164</x:v>
      </x:c>
      <x:c r="B4" s="10" t="str">
        <x:v>Incident 1</x:v>
      </x:c>
      <x:c r="C4" s="10" t="str">
        <x:v>Trading system</x:v>
      </x:c>
      <x:c r="D4" s="10" t="str">
        <x:v>Risk</x:v>
      </x:c>
      <x:c r="E4" s="59" t="n">
        <x:v>55</x:v>
      </x:c>
      <x:c r="F4" s="10" t="str">
        <x:v>High</x:v>
      </x:c>
      <x:c r="G4" s="10" t="str">
        <x:v>Closed</x:v>
      </x:c>
      <x:c r="H4" s="10" t="str">
        <x:v>Dummy log; replace with actual incident data</x:v>
      </x:c>
      <x:c r="J4" t="str">
        <x:v>Monthly incident count</x:v>
      </x:c>
      <x:c r="K4" s="32" t="n">
        <x:f>COUNTA(B4:B33)</x:f>
        <x:v>30</x:v>
      </x:c>
    </x:row>
    <x:row r="5">
      <x:c r="A5" s="58" t="n">
        <x:v>46147</x:v>
      </x:c>
      <x:c r="B5" s="10" t="str">
        <x:v>Incident 2</x:v>
      </x:c>
      <x:c r="C5" s="10" t="str">
        <x:v>Process breach</x:v>
      </x:c>
      <x:c r="D5" s="10" t="str">
        <x:v>Risk</x:v>
      </x:c>
      <x:c r="E5" s="59" t="n">
        <x:v>247</x:v>
      </x:c>
      <x:c r="F5" s="10" t="str">
        <x:v>Medium</x:v>
      </x:c>
      <x:c r="G5" s="10" t="str">
        <x:v>Open</x:v>
      </x:c>
      <x:c r="H5" s="10" t="str">
        <x:v>Dummy log; replace with actual incident data</x:v>
      </x:c>
      <x:c r="J5" t="str">
        <x:v>High severity count</x:v>
      </x:c>
      <x:c r="K5" s="32" t="n">
        <x:f>COUNTIF(F4:F33,"High")</x:f>
        <x:v>6</x:v>
      </x:c>
    </x:row>
    <x:row r="6">
      <x:c r="A6" s="58" t="n">
        <x:v>46153</x:v>
      </x:c>
      <x:c r="B6" s="10" t="str">
        <x:v>Incident 3</x:v>
      </x:c>
      <x:c r="C6" s="10" t="str">
        <x:v>Data quality</x:v>
      </x:c>
      <x:c r="D6" s="10" t="str">
        <x:v>Treasury</x:v>
      </x:c>
      <x:c r="E6" s="59" t="n">
        <x:v>55</x:v>
      </x:c>
      <x:c r="F6" s="10" t="str">
        <x:v>Low</x:v>
      </x:c>
      <x:c r="G6" s="10" t="str">
        <x:v>Open</x:v>
      </x:c>
      <x:c r="H6" s="10" t="str">
        <x:v>Dummy log; replace with actual incident data</x:v>
      </x:c>
      <x:c r="J6" t="str">
        <x:v>Open incidents</x:v>
      </x:c>
      <x:c r="K6" s="32" t="n">
        <x:f>COUNTIF(G4:G33,"Open")</x:f>
        <x:v>12</x:v>
      </x:c>
    </x:row>
    <x:row r="7">
      <x:c r="A7" s="58" t="n">
        <x:v>46149</x:v>
      </x:c>
      <x:c r="B7" s="10" t="str">
        <x:v>Incident 4</x:v>
      </x:c>
      <x:c r="C7" s="10" t="str">
        <x:v>Process breach</x:v>
      </x:c>
      <x:c r="D7" s="10" t="str">
        <x:v>Risk</x:v>
      </x:c>
      <x:c r="E7" s="59" t="n">
        <x:v>189</x:v>
      </x:c>
      <x:c r="F7" s="10" t="str">
        <x:v>Low</x:v>
      </x:c>
      <x:c r="G7" s="10" t="str">
        <x:v>Remediation</x:v>
      </x:c>
      <x:c r="H7" s="10" t="str">
        <x:v>Dummy log; replace with actual incident data</x:v>
      </x:c>
      <x:c r="J7" t="str">
        <x:v>Total loss (VND mn)</x:v>
      </x:c>
      <x:c r="K7" s="32" t="n">
        <x:f>SUM(E4:E33)</x:f>
        <x:v>4310</x:v>
      </x:c>
    </x:row>
    <x:row r="8">
      <x:c r="A8" s="58" t="n">
        <x:v>46171</x:v>
      </x:c>
      <x:c r="B8" s="10" t="str">
        <x:v>Incident 5</x:v>
      </x:c>
      <x:c r="C8" s="10" t="str">
        <x:v>Cyber/IT</x:v>
      </x:c>
      <x:c r="D8" s="10" t="str">
        <x:v>Risk</x:v>
      </x:c>
      <x:c r="E8" s="59" t="n">
        <x:v>55</x:v>
      </x:c>
      <x:c r="F8" s="10" t="str">
        <x:v>Low</x:v>
      </x:c>
      <x:c r="G8" s="10" t="str">
        <x:v>Open</x:v>
      </x:c>
      <x:c r="H8" s="10" t="str">
        <x:v>Dummy log; replace with actual incident data</x:v>
      </x:c>
    </x:row>
    <x:row r="9">
      <x:c r="A9" s="58" t="n">
        <x:v>46154</x:v>
      </x:c>
      <x:c r="B9" s="10" t="str">
        <x:v>Incident 6</x:v>
      </x:c>
      <x:c r="C9" s="10" t="str">
        <x:v>Data quality</x:v>
      </x:c>
      <x:c r="D9" s="10" t="str">
        <x:v>IT</x:v>
      </x:c>
      <x:c r="E9" s="59" t="n">
        <x:v>198</x:v>
      </x:c>
      <x:c r="F9" s="10" t="str">
        <x:v>Low</x:v>
      </x:c>
      <x:c r="G9" s="10" t="str">
        <x:v>Open</x:v>
      </x:c>
      <x:c r="H9" s="10" t="str">
        <x:v>Dummy log; replace with actual incident data</x:v>
      </x:c>
    </x:row>
    <x:row r="10">
      <x:c r="A10" s="58" t="n">
        <x:v>46168</x:v>
      </x:c>
      <x:c r="B10" s="10" t="str">
        <x:v>Incident 7</x:v>
      </x:c>
      <x:c r="C10" s="10" t="str">
        <x:v>People</x:v>
      </x:c>
      <x:c r="D10" s="10" t="str">
        <x:v>Risk</x:v>
      </x:c>
      <x:c r="E10" s="59" t="n">
        <x:v>197</x:v>
      </x:c>
      <x:c r="F10" s="10" t="str">
        <x:v>High</x:v>
      </x:c>
      <x:c r="G10" s="10" t="str">
        <x:v>Open</x:v>
      </x:c>
      <x:c r="H10" s="10" t="str">
        <x:v>Dummy log; replace with actual incident data</x:v>
      </x:c>
    </x:row>
    <x:row r="11">
      <x:c r="A11" s="58" t="n">
        <x:v>46146</x:v>
      </x:c>
      <x:c r="B11" s="10" t="str">
        <x:v>Incident 8</x:v>
      </x:c>
      <x:c r="C11" s="10" t="str">
        <x:v>Data quality</x:v>
      </x:c>
      <x:c r="D11" s="10" t="str">
        <x:v>Risk</x:v>
      </x:c>
      <x:c r="E11" s="59" t="n">
        <x:v>63</x:v>
      </x:c>
      <x:c r="F11" s="10" t="str">
        <x:v>High</x:v>
      </x:c>
      <x:c r="G11" s="10" t="str">
        <x:v>Remediation</x:v>
      </x:c>
      <x:c r="H11" s="10" t="str">
        <x:v>Dummy log; replace with actual incident data</x:v>
      </x:c>
    </x:row>
    <x:row r="12">
      <x:c r="A12" s="58" t="n">
        <x:v>46161</x:v>
      </x:c>
      <x:c r="B12" s="10" t="str">
        <x:v>Incident 9</x:v>
      </x:c>
      <x:c r="C12" s="10" t="str">
        <x:v>Data quality</x:v>
      </x:c>
      <x:c r="D12" s="10" t="str">
        <x:v>IT</x:v>
      </x:c>
      <x:c r="E12" s="59" t="n">
        <x:v>167</x:v>
      </x:c>
      <x:c r="F12" s="10" t="str">
        <x:v>Low</x:v>
      </x:c>
      <x:c r="G12" s="10" t="str">
        <x:v>Closed</x:v>
      </x:c>
      <x:c r="H12" s="10" t="str">
        <x:v>Dummy log; replace with actual incident data</x:v>
      </x:c>
    </x:row>
    <x:row r="13">
      <x:c r="A13" s="58" t="n">
        <x:v>46173</x:v>
      </x:c>
      <x:c r="B13" s="10" t="str">
        <x:v>Incident 10</x:v>
      </x:c>
      <x:c r="C13" s="10" t="str">
        <x:v>Data quality</x:v>
      </x:c>
      <x:c r="D13" s="10" t="str">
        <x:v>Brokerage</x:v>
      </x:c>
      <x:c r="E13" s="59" t="n">
        <x:v>128</x:v>
      </x:c>
      <x:c r="F13" s="10" t="str">
        <x:v>Medium</x:v>
      </x:c>
      <x:c r="G13" s="10" t="str">
        <x:v>Open</x:v>
      </x:c>
      <x:c r="H13" s="10" t="str">
        <x:v>Dummy log; replace with actual incident data</x:v>
      </x:c>
    </x:row>
    <x:row r="14">
      <x:c r="A14" s="58" t="n">
        <x:v>46153</x:v>
      </x:c>
      <x:c r="B14" s="10" t="str">
        <x:v>Incident 11</x:v>
      </x:c>
      <x:c r="C14" s="10" t="str">
        <x:v>Process breach</x:v>
      </x:c>
      <x:c r="D14" s="10" t="str">
        <x:v>Brokerage</x:v>
      </x:c>
      <x:c r="E14" s="59" t="n">
        <x:v>195</x:v>
      </x:c>
      <x:c r="F14" s="10" t="str">
        <x:v>Medium</x:v>
      </x:c>
      <x:c r="G14" s="10" t="str">
        <x:v>Open</x:v>
      </x:c>
      <x:c r="H14" s="10" t="str">
        <x:v>Dummy log; replace with actual incident data</x:v>
      </x:c>
    </x:row>
    <x:row r="15">
      <x:c r="A15" s="58" t="n">
        <x:v>46173</x:v>
      </x:c>
      <x:c r="B15" s="10" t="str">
        <x:v>Incident 12</x:v>
      </x:c>
      <x:c r="C15" s="10" t="str">
        <x:v>Trading system</x:v>
      </x:c>
      <x:c r="D15" s="10" t="str">
        <x:v>Risk</x:v>
      </x:c>
      <x:c r="E15" s="59" t="n">
        <x:v>11</x:v>
      </x:c>
      <x:c r="F15" s="10" t="str">
        <x:v>Low</x:v>
      </x:c>
      <x:c r="G15" s="10" t="str">
        <x:v>Closed</x:v>
      </x:c>
      <x:c r="H15" s="10" t="str">
        <x:v>Dummy log; replace with actual incident data</x:v>
      </x:c>
    </x:row>
    <x:row r="16">
      <x:c r="A16" s="58" t="n">
        <x:v>46157</x:v>
      </x:c>
      <x:c r="B16" s="10" t="str">
        <x:v>Incident 13</x:v>
      </x:c>
      <x:c r="C16" s="10" t="str">
        <x:v>Data quality</x:v>
      </x:c>
      <x:c r="D16" s="10" t="str">
        <x:v>Risk</x:v>
      </x:c>
      <x:c r="E16" s="59" t="n">
        <x:v>151</x:v>
      </x:c>
      <x:c r="F16" s="10" t="str">
        <x:v>Low</x:v>
      </x:c>
      <x:c r="G16" s="10" t="str">
        <x:v>Open</x:v>
      </x:c>
      <x:c r="H16" s="10" t="str">
        <x:v>Dummy log; replace with actual incident data</x:v>
      </x:c>
    </x:row>
    <x:row r="17">
      <x:c r="A17" s="58" t="n">
        <x:v>46148</x:v>
      </x:c>
      <x:c r="B17" s="10" t="str">
        <x:v>Incident 14</x:v>
      </x:c>
      <x:c r="C17" s="10" t="str">
        <x:v>Process breach</x:v>
      </x:c>
      <x:c r="D17" s="10" t="str">
        <x:v>Operations</x:v>
      </x:c>
      <x:c r="E17" s="59" t="n">
        <x:v>176</x:v>
      </x:c>
      <x:c r="F17" s="10" t="str">
        <x:v>Low</x:v>
      </x:c>
      <x:c r="G17" s="10" t="str">
        <x:v>Closed</x:v>
      </x:c>
      <x:c r="H17" s="10" t="str">
        <x:v>Dummy log; replace with actual incident data</x:v>
      </x:c>
    </x:row>
    <x:row r="18">
      <x:c r="A18" s="58" t="n">
        <x:v>46163</x:v>
      </x:c>
      <x:c r="B18" s="10" t="str">
        <x:v>Incident 15</x:v>
      </x:c>
      <x:c r="C18" s="10" t="str">
        <x:v>Process breach</x:v>
      </x:c>
      <x:c r="D18" s="10" t="str">
        <x:v>Risk</x:v>
      </x:c>
      <x:c r="E18" s="59" t="n">
        <x:v>268</x:v>
      </x:c>
      <x:c r="F18" s="10" t="str">
        <x:v>High</x:v>
      </x:c>
      <x:c r="G18" s="10" t="str">
        <x:v>Remediation</x:v>
      </x:c>
      <x:c r="H18" s="10" t="str">
        <x:v>Dummy log; replace with actual incident data</x:v>
      </x:c>
    </x:row>
    <x:row r="19">
      <x:c r="A19" s="58" t="n">
        <x:v>46161</x:v>
      </x:c>
      <x:c r="B19" s="10" t="str">
        <x:v>Incident 16</x:v>
      </x:c>
      <x:c r="C19" s="10" t="str">
        <x:v>Data quality</x:v>
      </x:c>
      <x:c r="D19" s="10" t="str">
        <x:v>IT</x:v>
      </x:c>
      <x:c r="E19" s="59" t="n">
        <x:v>157</x:v>
      </x:c>
      <x:c r="F19" s="10" t="str">
        <x:v>Medium</x:v>
      </x:c>
      <x:c r="G19" s="10" t="str">
        <x:v>Closed</x:v>
      </x:c>
      <x:c r="H19" s="10" t="str">
        <x:v>Dummy log; replace with actual incident data</x:v>
      </x:c>
    </x:row>
    <x:row r="20">
      <x:c r="A20" s="58" t="n">
        <x:v>46168</x:v>
      </x:c>
      <x:c r="B20" s="10" t="str">
        <x:v>Incident 17</x:v>
      </x:c>
      <x:c r="C20" s="10" t="str">
        <x:v>Cyber/IT</x:v>
      </x:c>
      <x:c r="D20" s="10" t="str">
        <x:v>Operations</x:v>
      </x:c>
      <x:c r="E20" s="59" t="n">
        <x:v>39</x:v>
      </x:c>
      <x:c r="F20" s="10" t="str">
        <x:v>Low</x:v>
      </x:c>
      <x:c r="G20" s="10" t="str">
        <x:v>Remediation</x:v>
      </x:c>
      <x:c r="H20" s="10" t="str">
        <x:v>Dummy log; replace with actual incident data</x:v>
      </x:c>
    </x:row>
    <x:row r="21">
      <x:c r="A21" s="58" t="n">
        <x:v>46159</x:v>
      </x:c>
      <x:c r="B21" s="10" t="str">
        <x:v>Incident 18</x:v>
      </x:c>
      <x:c r="C21" s="10" t="str">
        <x:v>Cyber/IT</x:v>
      </x:c>
      <x:c r="D21" s="10" t="str">
        <x:v>Brokerage</x:v>
      </x:c>
      <x:c r="E21" s="59" t="n">
        <x:v>182</x:v>
      </x:c>
      <x:c r="F21" s="10" t="str">
        <x:v>Low</x:v>
      </x:c>
      <x:c r="G21" s="10" t="str">
        <x:v>Remediation</x:v>
      </x:c>
      <x:c r="H21" s="10" t="str">
        <x:v>Dummy log; replace with actual incident data</x:v>
      </x:c>
    </x:row>
    <x:row r="22">
      <x:c r="A22" s="58" t="n">
        <x:v>46152</x:v>
      </x:c>
      <x:c r="B22" s="10" t="str">
        <x:v>Incident 19</x:v>
      </x:c>
      <x:c r="C22" s="10" t="str">
        <x:v>Settlement</x:v>
      </x:c>
      <x:c r="D22" s="10" t="str">
        <x:v>Treasury</x:v>
      </x:c>
      <x:c r="E22" s="59" t="n">
        <x:v>175</x:v>
      </x:c>
      <x:c r="F22" s="10" t="str">
        <x:v>Medium</x:v>
      </x:c>
      <x:c r="G22" s="10" t="str">
        <x:v>Open</x:v>
      </x:c>
      <x:c r="H22" s="10" t="str">
        <x:v>Dummy log; replace with actual incident data</x:v>
      </x:c>
    </x:row>
    <x:row r="23">
      <x:c r="A23" s="58" t="n">
        <x:v>46158</x:v>
      </x:c>
      <x:c r="B23" s="10" t="str">
        <x:v>Incident 20</x:v>
      </x:c>
      <x:c r="C23" s="10" t="str">
        <x:v>Cyber/IT</x:v>
      </x:c>
      <x:c r="D23" s="10" t="str">
        <x:v>Treasury</x:v>
      </x:c>
      <x:c r="E23" s="59" t="n">
        <x:v>51</x:v>
      </x:c>
      <x:c r="F23" s="10" t="str">
        <x:v>High</x:v>
      </x:c>
      <x:c r="G23" s="10" t="str">
        <x:v>Remediation</x:v>
      </x:c>
      <x:c r="H23" s="10" t="str">
        <x:v>Dummy log; replace with actual incident data</x:v>
      </x:c>
    </x:row>
    <x:row r="24">
      <x:c r="A24" s="58" t="n">
        <x:v>46165</x:v>
      </x:c>
      <x:c r="B24" s="10" t="str">
        <x:v>Incident 21</x:v>
      </x:c>
      <x:c r="C24" s="10" t="str">
        <x:v>Trading system</x:v>
      </x:c>
      <x:c r="D24" s="10" t="str">
        <x:v>IT</x:v>
      </x:c>
      <x:c r="E24" s="59" t="n">
        <x:v>124</x:v>
      </x:c>
      <x:c r="F24" s="10" t="str">
        <x:v>Medium</x:v>
      </x:c>
      <x:c r="G24" s="10" t="str">
        <x:v>Open</x:v>
      </x:c>
      <x:c r="H24" s="10" t="str">
        <x:v>Dummy log; replace with actual incident data</x:v>
      </x:c>
    </x:row>
    <x:row r="25">
      <x:c r="A25" s="58" t="n">
        <x:v>46148</x:v>
      </x:c>
      <x:c r="B25" s="10" t="str">
        <x:v>Incident 22</x:v>
      </x:c>
      <x:c r="C25" s="10" t="str">
        <x:v>Settlement</x:v>
      </x:c>
      <x:c r="D25" s="10" t="str">
        <x:v>Operations</x:v>
      </x:c>
      <x:c r="E25" s="59" t="n">
        <x:v>59</x:v>
      </x:c>
      <x:c r="F25" s="10" t="str">
        <x:v>Low</x:v>
      </x:c>
      <x:c r="G25" s="10" t="str">
        <x:v>Remediation</x:v>
      </x:c>
      <x:c r="H25" s="10" t="str">
        <x:v>Dummy log; replace with actual incident data</x:v>
      </x:c>
    </x:row>
    <x:row r="26">
      <x:c r="A26" s="58" t="n">
        <x:v>46168</x:v>
      </x:c>
      <x:c r="B26" s="10" t="str">
        <x:v>Incident 23</x:v>
      </x:c>
      <x:c r="C26" s="10" t="str">
        <x:v>Data quality</x:v>
      </x:c>
      <x:c r="D26" s="10" t="str">
        <x:v>IT</x:v>
      </x:c>
      <x:c r="E26" s="59" t="n">
        <x:v>221</x:v>
      </x:c>
      <x:c r="F26" s="10" t="str">
        <x:v>Medium</x:v>
      </x:c>
      <x:c r="G26" s="10" t="str">
        <x:v>Remediation</x:v>
      </x:c>
      <x:c r="H26" s="10" t="str">
        <x:v>Dummy log; replace with actual incident data</x:v>
      </x:c>
    </x:row>
    <x:row r="27">
      <x:c r="A27" s="58" t="n">
        <x:v>46146</x:v>
      </x:c>
      <x:c r="B27" s="10" t="str">
        <x:v>Incident 24</x:v>
      </x:c>
      <x:c r="C27" s="10" t="str">
        <x:v>People</x:v>
      </x:c>
      <x:c r="D27" s="10" t="str">
        <x:v>Brokerage</x:v>
      </x:c>
      <x:c r="E27" s="59" t="n">
        <x:v>58</x:v>
      </x:c>
      <x:c r="F27" s="10" t="str">
        <x:v>Low</x:v>
      </x:c>
      <x:c r="G27" s="10" t="str">
        <x:v>Open</x:v>
      </x:c>
      <x:c r="H27" s="10" t="str">
        <x:v>Dummy log; replace with actual incident data</x:v>
      </x:c>
    </x:row>
    <x:row r="28">
      <x:c r="A28" s="58" t="n">
        <x:v>46151</x:v>
      </x:c>
      <x:c r="B28" s="10" t="str">
        <x:v>Incident 25</x:v>
      </x:c>
      <x:c r="C28" s="10" t="str">
        <x:v>Cyber/IT</x:v>
      </x:c>
      <x:c r="D28" s="10" t="str">
        <x:v>Risk</x:v>
      </x:c>
      <x:c r="E28" s="59" t="n">
        <x:v>187</x:v>
      </x:c>
      <x:c r="F28" s="10" t="str">
        <x:v>Low</x:v>
      </x:c>
      <x:c r="G28" s="10" t="str">
        <x:v>Remediation</x:v>
      </x:c>
      <x:c r="H28" s="10" t="str">
        <x:v>Dummy log; replace with actual incident data</x:v>
      </x:c>
    </x:row>
    <x:row r="29">
      <x:c r="A29" s="58" t="n">
        <x:v>46165</x:v>
      </x:c>
      <x:c r="B29" s="10" t="str">
        <x:v>Incident 26</x:v>
      </x:c>
      <x:c r="C29" s="10" t="str">
        <x:v>People</x:v>
      </x:c>
      <x:c r="D29" s="10" t="str">
        <x:v>Risk</x:v>
      </x:c>
      <x:c r="E29" s="59" t="n">
        <x:v>236</x:v>
      </x:c>
      <x:c r="F29" s="10" t="str">
        <x:v>Medium</x:v>
      </x:c>
      <x:c r="G29" s="10" t="str">
        <x:v>Closed</x:v>
      </x:c>
      <x:c r="H29" s="10" t="str">
        <x:v>Dummy log; replace with actual incident data</x:v>
      </x:c>
    </x:row>
    <x:row r="30">
      <x:c r="A30" s="58" t="n">
        <x:v>46163</x:v>
      </x:c>
      <x:c r="B30" s="10" t="str">
        <x:v>Incident 27</x:v>
      </x:c>
      <x:c r="C30" s="10" t="str">
        <x:v>Data quality</x:v>
      </x:c>
      <x:c r="D30" s="10" t="str">
        <x:v>IT</x:v>
      </x:c>
      <x:c r="E30" s="59" t="n">
        <x:v>114</x:v>
      </x:c>
      <x:c r="F30" s="10" t="str">
        <x:v>Medium</x:v>
      </x:c>
      <x:c r="G30" s="10" t="str">
        <x:v>Closed</x:v>
      </x:c>
      <x:c r="H30" s="10" t="str">
        <x:v>Dummy log; replace with actual incident data</x:v>
      </x:c>
    </x:row>
    <x:row r="31">
      <x:c r="A31" s="58" t="n">
        <x:v>46146</x:v>
      </x:c>
      <x:c r="B31" s="10" t="str">
        <x:v>Incident 28</x:v>
      </x:c>
      <x:c r="C31" s="10" t="str">
        <x:v>Settlement</x:v>
      </x:c>
      <x:c r="D31" s="10" t="str">
        <x:v>IT</x:v>
      </x:c>
      <x:c r="E31" s="59" t="n">
        <x:v>277</x:v>
      </x:c>
      <x:c r="F31" s="10" t="str">
        <x:v>High</x:v>
      </x:c>
      <x:c r="G31" s="10" t="str">
        <x:v>Remediation</x:v>
      </x:c>
      <x:c r="H31" s="10" t="str">
        <x:v>Dummy log; replace with actual incident data</x:v>
      </x:c>
    </x:row>
    <x:row r="32">
      <x:c r="A32" s="58" t="n">
        <x:v>46166</x:v>
      </x:c>
      <x:c r="B32" s="10" t="str">
        <x:v>Incident 29</x:v>
      </x:c>
      <x:c r="C32" s="10" t="str">
        <x:v>Data quality</x:v>
      </x:c>
      <x:c r="D32" s="10" t="str">
        <x:v>Brokerage</x:v>
      </x:c>
      <x:c r="E32" s="59" t="n">
        <x:v>223</x:v>
      </x:c>
      <x:c r="F32" s="10" t="str">
        <x:v>Medium</x:v>
      </x:c>
      <x:c r="G32" s="10" t="str">
        <x:v>Open</x:v>
      </x:c>
      <x:c r="H32" s="10" t="str">
        <x:v>Dummy log; replace with actual incident data</x:v>
      </x:c>
    </x:row>
    <x:row r="33">
      <x:c r="A33" s="58" t="n">
        <x:v>46148</x:v>
      </x:c>
      <x:c r="B33" s="10" t="str">
        <x:v>Incident 30</x:v>
      </x:c>
      <x:c r="C33" s="10" t="str">
        <x:v>Settlement</x:v>
      </x:c>
      <x:c r="D33" s="10" t="str">
        <x:v>Risk</x:v>
      </x:c>
      <x:c r="E33" s="59" t="n">
        <x:v>52</x:v>
      </x:c>
      <x:c r="F33" s="10" t="str">
        <x:v>Medium</x:v>
      </x:c>
      <x:c r="G33" s="10" t="str">
        <x:v>Closed</x:v>
      </x:c>
      <x:c r="H33" s="10" t="str">
        <x:v>Dummy log; replace with actual incident data</x:v>
      </x:c>
    </x:row>
  </x:sheetData>
  <x:mergeCells>
    <x:mergeCell ref="A1:H1"/>
  </x:mergeCells>
  <x:dataValidations count="2">
    <x:dataValidation type="list" sqref="F4:F200">
      <x:formula1>"Low,Medium,High"</x:formula1>
    </x:dataValidation>
    <x:dataValidation type="list" sqref="G4:G200">
      <x:formula1>"Closed,Open,Remediation"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368415ddf434ab4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23.549999237060547" hidden="0" customWidth="1"/>
    <x:col min="2" max="2" width="24.6299991607666" hidden="0" customWidth="1"/>
    <x:col min="3" max="3" width="13.460000038146973" hidden="0" customWidth="1"/>
    <x:col min="4" max="4" width="16.020000457763672" hidden="0" customWidth="1"/>
    <x:col min="5" max="5" width="11.84000015258789" hidden="0" customWidth="1"/>
    <x:col min="6" max="6" width="11.170000076293945" hidden="0" customWidth="1"/>
    <x:col min="7" max="7" width="5.380000114440918" hidden="0" customWidth="1"/>
  </x:cols>
  <x:sheetData>
    <x:row r="1">
      <x:c r="A1" s="70" t="str">
        <x:v>Risk Limits and Thresholds</x:v>
      </x:c>
      <x:c r="B1" s="10"/>
      <x:c r="C1" s="10"/>
      <x:c r="D1" s="10"/>
      <x:c r="E1" s="10"/>
      <x:c r="F1" s="10"/>
      <x:c r="G1" s="10"/>
      <x:c r="H1" s="10"/>
      <x:c r="I1" s="10"/>
      <x:c r="J1" s="10"/>
      <x:c r="K1" s="10"/>
      <x:c r="L1" s="10"/>
      <x:c r="M1" s="10"/>
      <x:c r="N1" s="10"/>
      <x:c r="O1" s="10"/>
      <x:c r="P1" s="10"/>
      <x:c r="Q1" s="10"/>
      <x:c r="R1" s="10"/>
      <x:c r="S1" s="10"/>
      <x:c r="T1" s="10"/>
      <x:c r="U1" s="10"/>
      <x:c r="V1" s="10"/>
      <x:c r="W1" s="10"/>
      <x:c r="X1" s="10"/>
      <x:c r="Y1" s="10"/>
      <x:c r="Z1" s="10"/>
    </x:row>
    <x:row r="2">
      <x:c r="A2" s="20" t="str">
        <x:v>Risk Area</x:v>
      </x:c>
      <x:c r="B2" s="20" t="str">
        <x:v>Metric</x:v>
      </x:c>
      <x:c r="C2" s="20" t="str">
        <x:v>Green Threshold</x:v>
      </x:c>
      <x:c r="D2" s="20" t="str">
        <x:v>Amber Threshold</x:v>
      </x:c>
      <x:c r="E2" s="20" t="str">
        <x:v>Red Threshold</x:v>
      </x:c>
      <x:c r="F2" s="20" t="str">
        <x:v>Current Value</x:v>
      </x:c>
      <x:c r="G2" s="20" t="str">
        <x:v>Status</x:v>
      </x:c>
    </x:row>
    <x:row r="3">
      <x:c r="A3" t="str">
        <x:v>Market</x:v>
      </x:c>
      <x:c r="B3" t="str">
        <x:v>VNINDEX 20D volatility</x:v>
      </x:c>
      <x:c r="C3" t="str">
        <x:v>&lt; 18%</x:v>
      </x:c>
      <x:c r="D3" t="str">
        <x:v>18% - 25%</x:v>
      </x:c>
      <x:c r="E3" t="str">
        <x:v>&gt; 25%</x:v>
      </x:c>
      <x:c r="F3" s="36" t="n">
        <x:f>Market_Data_vnstock!D189</x:f>
        <x:v>0.1321280123133161</x:v>
      </x:c>
      <x:c r="G3" s="37" t="str">
        <x:f>IF(F3&gt;25%,"RED",IF(F3&gt;=18%,"AMBER","GREEN"))</x:f>
        <x:v>GREEN</x:v>
      </x:c>
    </x:row>
    <x:row r="4">
      <x:c r="A4" t="str">
        <x:v>Market</x:v>
      </x:c>
      <x:c r="B4" t="str">
        <x:v>VNINDEX drawdown</x:v>
      </x:c>
      <x:c r="C4" t="str">
        <x:v>&lt; 10%</x:v>
      </x:c>
      <x:c r="D4" t="str">
        <x:v>10% - 15%</x:v>
      </x:c>
      <x:c r="E4" t="str">
        <x:v>&gt; 15%</x:v>
      </x:c>
      <x:c r="F4" s="36" t="n">
        <x:f>ABS(Market_Data_vnstock!E189)</x:f>
        <x:v>0.11281453341858794</x:v>
      </x:c>
      <x:c r="G4" s="37" t="str">
        <x:f>IF(F4&gt;15%,"RED",IF(F4&gt;=10%,"AMBER","GREEN"))</x:f>
        <x:v>AMBER</x:v>
      </x:c>
    </x:row>
    <x:row r="5">
      <x:c r="A5" t="str">
        <x:v>Market</x:v>
      </x:c>
      <x:c r="B5" t="str">
        <x:v>Foreign net flow</x:v>
      </x:c>
      <x:c r="C5" t="str">
        <x:v>Net sell &lt; 1,000</x:v>
      </x:c>
      <x:c r="D5" t="str">
        <x:v>Net sell 1,000-2,000</x:v>
      </x:c>
      <x:c r="E5" t="str">
        <x:v>Net sell &gt;2,000</x:v>
      </x:c>
      <x:c r="F5" s="36" t="n">
        <x:f>Market_Data_vnstock!G189</x:f>
        <x:v>-405</x:v>
      </x:c>
      <x:c r="G5" s="37" t="str">
        <x:f>IF(F5&lt;=-2000,"RED",IF(F5&lt;=-1000,"AMBER","GREEN"))</x:f>
        <x:v>GREEN</x:v>
      </x:c>
    </x:row>
    <x:row r="6">
      <x:c r="A6" t="str">
        <x:v>Margin</x:v>
      </x:c>
      <x:c r="B6" t="str">
        <x:v>Top 10 exposure concentration</x:v>
      </x:c>
      <x:c r="C6" t="str">
        <x:v>&lt; 35%</x:v>
      </x:c>
      <x:c r="D6" t="str">
        <x:v>35% - 45%</x:v>
      </x:c>
      <x:c r="E6" t="str">
        <x:v>&gt;45%</x:v>
      </x:c>
      <x:c r="F6" s="38" t="n">
        <x:f>Margin_Book!O7</x:f>
        <x:v>0.22623809177514373</x:v>
      </x:c>
      <x:c r="G6" s="37" t="str">
        <x:f>IF(F6&gt;45%,"RED",IF(F6&gt;=35%,"AMBER","GREEN"))</x:f>
        <x:v>GREEN</x:v>
      </x:c>
    </x:row>
    <x:row r="7">
      <x:c r="A7" t="str">
        <x:v>Margin</x:v>
      </x:c>
      <x:c r="B7" t="str">
        <x:v>Forced sell candidates</x:v>
      </x:c>
      <x:c r="C7" t="str">
        <x:v>0</x:v>
      </x:c>
      <x:c r="D7" t="str">
        <x:v>1-5</x:v>
      </x:c>
      <x:c r="E7" t="str">
        <x:v>&gt;5</x:v>
      </x:c>
      <x:c r="F7" s="36" t="n">
        <x:f>Margin_Book!O8</x:f>
        <x:v>0</x:v>
      </x:c>
      <x:c r="G7" s="37" t="str">
        <x:f>IF(F7&gt;5,"RED",IF(F7&gt;=1,"AMBER","GREEN"))</x:f>
        <x:v>GREEN</x:v>
      </x:c>
    </x:row>
    <x:row r="8">
      <x:c r="A8" t="str">
        <x:v>Liquidity</x:v>
      </x:c>
      <x:c r="B8" t="str">
        <x:v>Liquidity coverage ratio</x:v>
      </x:c>
      <x:c r="C8" t="str">
        <x:v>&gt; 120%</x:v>
      </x:c>
      <x:c r="D8" t="str">
        <x:v>100% - 120%</x:v>
      </x:c>
      <x:c r="E8" t="str">
        <x:v>&lt;100%</x:v>
      </x:c>
      <x:c r="F8" s="38" t="n">
        <x:f>Liquidity_Risk!B12</x:f>
        <x:v>1.173913043478261</x:v>
      </x:c>
      <x:c r="G8" s="37" t="str">
        <x:f>IF(F8&lt;100%,"RED",IF(F8&lt;120%,"AMBER","GREEN"))</x:f>
        <x:v>AMBER</x:v>
      </x:c>
    </x:row>
    <x:row r="9">
      <x:c r="A9" t="str">
        <x:v>Operational</x:v>
      </x:c>
      <x:c r="B9" t="str">
        <x:v>Monthly incident count</x:v>
      </x:c>
      <x:c r="C9" t="str">
        <x:v>&lt;=2</x:v>
      </x:c>
      <x:c r="D9" t="str">
        <x:v>3-5</x:v>
      </x:c>
      <x:c r="E9" t="str">
        <x:v>&gt;5</x:v>
      </x:c>
      <x:c r="F9" s="38" t="n">
        <x:f>Operational_Risk!K4</x:f>
        <x:v>30</x:v>
      </x:c>
      <x:c r="G9" s="37" t="str">
        <x:f>IF(F9&gt;5,"RED",IF(F9&gt;=3,"AMBER","GREEN"))</x:f>
        <x:v>RED</x:v>
      </x:c>
    </x:row>
    <x:row r="10">
      <x:c r="A10" t="str">
        <x:v>Compliance</x:v>
      </x:c>
      <x:c r="B10" t="str">
        <x:v>Open overdue actions</x:v>
      </x:c>
      <x:c r="C10" t="str">
        <x:v>0</x:v>
      </x:c>
      <x:c r="D10" t="str">
        <x:v>1-3</x:v>
      </x:c>
      <x:c r="E10" t="str">
        <x:v>&gt;3</x:v>
      </x:c>
      <x:c r="F10" s="38" t="n">
        <x:v>2</x:v>
      </x:c>
      <x:c r="G10" s="37" t="str">
        <x:f>IF(F10&gt;3,"RED",IF(F10&gt;=1,"AMBER","GREEN"))</x:f>
        <x:v>AMBER</x:v>
      </x:c>
    </x:row>
  </x:sheetData>
  <x:mergeCells>
    <x:mergeCell ref="A1:G1"/>
  </x:mergeCells>
  <x:conditionalFormatting sqref="G3:G10">
    <x:cfRule type="expression" dxfId="0" priority="1">
      <x:formula>G3="RED"</x:formula>
    </x:cfRule>
    <x:cfRule type="expression" dxfId="1" priority="2">
      <x:formula>G3="AMBER"</x:formula>
    </x:cfRule>
    <x:cfRule type="expression" dxfId="2" priority="3">
      <x:formula>G3="GREEN"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5612242602014be8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23.81999969482422" hidden="0" customWidth="1"/>
    <x:col min="2" max="2" width="12.789999961853027" hidden="0" customWidth="1"/>
    <x:col min="3" max="3" width="13.460000038146973" hidden="0" customWidth="1"/>
    <x:col min="4" max="4" width="23.549999237060547" hidden="0" customWidth="1"/>
    <x:col min="5" max="5" width="15.34000015258789" hidden="0" customWidth="1"/>
    <x:col min="6" max="6" width="18.299999237060547" hidden="0" customWidth="1"/>
    <x:col min="7" max="7" width="19.3799991607666" hidden="0" customWidth="1"/>
    <x:col min="8" max="8" width="25.299999237060547" hidden="0" customWidth="1"/>
    <x:col min="9" max="9" width="5.920000076293945" hidden="0" customWidth="1"/>
  </x:cols>
  <x:sheetData>
    <x:row r="1">
      <x:c r="A1" s="70" t="str">
        <x:v>Stress Testing Scenarios</x:v>
      </x:c>
      <x:c r="B1" s="10"/>
      <x:c r="C1" s="10"/>
      <x:c r="D1" s="10"/>
      <x:c r="E1" s="10"/>
      <x:c r="F1" s="10"/>
      <x:c r="G1" s="10"/>
      <x:c r="H1" s="10"/>
      <x:c r="I1" s="10"/>
      <x:c r="J1" s="10"/>
      <x:c r="K1" s="10"/>
      <x:c r="L1" s="10"/>
      <x:c r="M1" s="10"/>
      <x:c r="N1" s="10"/>
      <x:c r="O1" s="10"/>
      <x:c r="P1" s="10"/>
      <x:c r="Q1" s="10"/>
      <x:c r="R1" s="10"/>
      <x:c r="S1" s="10"/>
      <x:c r="T1" s="10"/>
      <x:c r="U1" s="10"/>
      <x:c r="V1" s="10"/>
      <x:c r="W1" s="10"/>
      <x:c r="X1" s="10"/>
      <x:c r="Y1" s="10"/>
      <x:c r="Z1" s="10"/>
    </x:row>
    <x:row r="3">
      <x:c r="A3" s="20" t="str">
        <x:v>Scenario</x:v>
      </x:c>
      <x:c r="B3" s="20" t="str">
        <x:v>VNINDEX Shock</x:v>
      </x:c>
      <x:c r="C3" s="20" t="str">
        <x:v>Liquidity Haircut</x:v>
      </x:c>
      <x:c r="D3" s="20" t="str">
        <x:v>Foreign Flow Shock (VND bn)</x:v>
      </x:c>
      <x:c r="E3" s="20" t="str">
        <x:v>Margin Loan Shock</x:v>
      </x:c>
      <x:c r="F3" s="20" t="str">
        <x:v>Estimated Market Loss</x:v>
      </x:c>
      <x:c r="G3" s="20" t="str">
        <x:v>Estimated Liquidity Gap</x:v>
      </x:c>
      <x:c r="H3" s="20" t="str">
        <x:v>Estimated Forced Sell Accounts</x:v>
      </x:c>
      <x:c r="I3" s="20" t="str">
        <x:v>Status</x:v>
      </x:c>
    </x:row>
    <x:row r="4">
      <x:c r="A4" t="str">
        <x:v>Base</x:v>
      </x:c>
      <x:c r="B4" s="47" t="n">
        <x:v>0</x:v>
      </x:c>
      <x:c r="C4" s="47" t="n">
        <x:v>0</x:v>
      </x:c>
      <x:c r="D4" s="27" t="n">
        <x:v>0</x:v>
      </x:c>
      <x:c r="E4" s="47" t="n">
        <x:v>0</x:v>
      </x:c>
      <x:c r="F4" s="53" t="n">
        <x:f>ABS(B4)*'Margin_Book'!O5</x:f>
        <x:v>0</x:v>
      </x:c>
      <x:c r="G4" s="56" t="n">
        <x:f>'Liquidity_Risk'!B12-(1-C4)</x:f>
        <x:v>0.17391304347826098</x:v>
      </x:c>
      <x:c r="H4" s="53" t="n">
        <x:f>'Margin_Book'!O8*(1+E4)</x:f>
        <x:v>0</x:v>
      </x:c>
      <x:c r="I4" s="50" t="str">
        <x:f>IF(OR(G4&lt;100%,H4&gt;5),"RED",IF(OR(G4&lt;120%,H4&gt;=1),"AMBER","GREEN"))</x:f>
        <x:v>RED</x:v>
      </x:c>
    </x:row>
    <x:row r="5">
      <x:c r="A5" t="str">
        <x:v>Mild sell-off</x:v>
      </x:c>
      <x:c r="B5" s="47" t="n">
        <x:v>-0.1</x:v>
      </x:c>
      <x:c r="C5" s="47" t="n">
        <x:v>0.1</x:v>
      </x:c>
      <x:c r="D5" s="27" t="n">
        <x:v>-1000</x:v>
      </x:c>
      <x:c r="E5" s="47" t="n">
        <x:v>0.2</x:v>
      </x:c>
      <x:c r="F5" s="53" t="n">
        <x:f>ABS(B5)*'Margin_Book'!O5</x:f>
        <x:v>275.01999999999987</x:v>
      </x:c>
      <x:c r="G5" s="56" t="n">
        <x:f>'Liquidity_Risk'!B12*(1-C5)</x:f>
        <x:v>1.056521739130435</x:v>
      </x:c>
      <x:c r="H5" s="53" t="n">
        <x:f>'Margin_Book'!O8*(1+E5)+2</x:f>
        <x:v>2</x:v>
      </x:c>
      <x:c r="I5" s="50" t="str">
        <x:f>IF(OR(G5&lt;100%,H5&gt;5),"RED",IF(OR(G5&lt;120%,H5&gt;=1),"AMBER","GREEN"))</x:f>
        <x:v>AMBER</x:v>
      </x:c>
    </x:row>
    <x:row r="6">
      <x:c r="A6" t="str">
        <x:v>Severe sell-off</x:v>
      </x:c>
      <x:c r="B6" s="47" t="n">
        <x:v>-0.2</x:v>
      </x:c>
      <x:c r="C6" s="47" t="n">
        <x:v>0.25</x:v>
      </x:c>
      <x:c r="D6" s="27" t="n">
        <x:v>-2000</x:v>
      </x:c>
      <x:c r="E6" s="47" t="n">
        <x:v>0.5</x:v>
      </x:c>
      <x:c r="F6" s="53" t="n">
        <x:f>ABS(B6)*'Margin_Book'!O5</x:f>
        <x:v>550.0399999999997</x:v>
      </x:c>
      <x:c r="G6" s="56" t="n">
        <x:f>'Liquidity_Risk'!B12*(1-C6)</x:f>
        <x:v>0.8804347826086958</x:v>
      </x:c>
      <x:c r="H6" s="53" t="n">
        <x:f>'Margin_Book'!O8*(1+E6)+6</x:f>
        <x:v>6</x:v>
      </x:c>
      <x:c r="I6" s="50" t="str">
        <x:f>IF(OR(G6&lt;100%,H6&gt;5),"RED",IF(OR(G6&lt;120%,H6&gt;=1),"AMBER","GREEN"))</x:f>
        <x:v>RED</x:v>
      </x:c>
    </x:row>
    <x:row r="7">
      <x:c r="A7" t="str">
        <x:v>Crisis</x:v>
      </x:c>
      <x:c r="B7" s="47" t="n">
        <x:v>-0.35</x:v>
      </x:c>
      <x:c r="C7" s="47" t="n">
        <x:v>0.45</x:v>
      </x:c>
      <x:c r="D7" s="27" t="n">
        <x:v>-3500</x:v>
      </x:c>
      <x:c r="E7" s="47" t="n">
        <x:v>1</x:v>
      </x:c>
      <x:c r="F7" s="53" t="n">
        <x:f>ABS(B7)*'Margin_Book'!O5</x:f>
        <x:v>962.5699999999994</x:v>
      </x:c>
      <x:c r="G7" s="56" t="n">
        <x:f>'Liquidity_Risk'!B12*(1-C7)</x:f>
        <x:v>0.6456521739130436</x:v>
      </x:c>
      <x:c r="H7" s="53" t="n">
        <x:f>'Margin_Book'!O8*(1+E7)+12</x:f>
        <x:v>12</x:v>
      </x:c>
      <x:c r="I7" s="50" t="str">
        <x:f>IF(OR(G7&lt;100%,H7&gt;5),"RED",IF(OR(G7&lt;120%,H7&gt;=1),"AMBER","GREEN"))</x:f>
        <x:v>RED</x:v>
      </x:c>
    </x:row>
    <x:row r="8">
      <x:c r="A8" t="str">
        <x:v>Rate shock + liquidity squeeze</x:v>
      </x:c>
      <x:c r="B8" s="47" t="n">
        <x:v>-0.15</x:v>
      </x:c>
      <x:c r="C8" s="47" t="n">
        <x:v>0.35</x:v>
      </x:c>
      <x:c r="D8" s="27" t="n">
        <x:v>-1500</x:v>
      </x:c>
      <x:c r="E8" s="47" t="n">
        <x:v>0.6</x:v>
      </x:c>
      <x:c r="F8" s="53" t="n">
        <x:f>ABS(B8)*'Margin_Book'!O5</x:f>
        <x:v>412.52999999999975</x:v>
      </x:c>
      <x:c r="G8" s="56" t="n">
        <x:f>'Liquidity_Risk'!B12*(1-C8)</x:f>
        <x:v>0.7630434782608697</x:v>
      </x:c>
      <x:c r="H8" s="53" t="n">
        <x:f>'Margin_Book'!O8*(1+E8)+8</x:f>
        <x:v>8</x:v>
      </x:c>
      <x:c r="I8" s="50" t="str">
        <x:f>IF(OR(G8&lt;100%,H8&gt;5),"RED",IF(OR(G8&lt;120%,H8&gt;=1),"AMBER","GREEN"))</x:f>
        <x:v>RED</x:v>
      </x:c>
    </x:row>
  </x:sheetData>
  <x:mergeCells>
    <x:mergeCell ref="A1:I1"/>
  </x:mergeCells>
  <x:conditionalFormatting sqref="I4:I8">
    <x:cfRule type="expression" dxfId="6" priority="1">
      <x:formula>I4="RED"</x:formula>
    </x:cfRule>
    <x:cfRule type="expression" dxfId="7" priority="2">
      <x:formula>I4="AMBER"</x:formula>
    </x:cfRule>
    <x:cfRule type="expression" dxfId="8" priority="3">
      <x:formula>I4="GREEN"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d598ae5bcfac496d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31.489999771118164" hidden="0" customWidth="1"/>
    <x:col min="2" max="2" width="8.210000038146973" hidden="0" customWidth="1"/>
    <x:col min="3" max="3" width="9.6899995803833" hidden="0" customWidth="1"/>
    <x:col min="4" max="4" width="14.9399995803833" hidden="0" customWidth="1"/>
    <x:col min="5" max="5" width="18.709999084472656" hidden="0" customWidth="1"/>
    <x:col min="6" max="6" width="37.95000076293945" hidden="0" customWidth="1"/>
  </x:cols>
  <x:sheetData>
    <x:row r="1">
      <x:c r="A1" s="70" t="str">
        <x:v>Public / Macro Context Inputs</x:v>
      </x:c>
      <x:c r="B1" s="10"/>
      <x:c r="C1" s="10"/>
      <x:c r="D1" s="10"/>
      <x:c r="E1" s="10"/>
      <x:c r="F1" s="10"/>
      <x:c r="G1" s="10"/>
      <x:c r="H1" s="10"/>
      <x:c r="I1" s="10"/>
      <x:c r="J1" s="10"/>
      <x:c r="K1" s="10"/>
      <x:c r="L1" s="10"/>
      <x:c r="M1" s="10"/>
      <x:c r="N1" s="10"/>
      <x:c r="O1" s="10"/>
      <x:c r="P1" s="10"/>
      <x:c r="Q1" s="10"/>
      <x:c r="R1" s="10"/>
      <x:c r="S1" s="10"/>
      <x:c r="T1" s="10"/>
      <x:c r="U1" s="10"/>
      <x:c r="V1" s="10"/>
      <x:c r="W1" s="10"/>
      <x:c r="X1" s="10"/>
      <x:c r="Y1" s="10"/>
      <x:c r="Z1" s="10"/>
    </x:row>
    <x:row r="2">
      <x:c r="A2" s="20" t="str">
        <x:v>Item</x:v>
      </x:c>
      <x:c r="B2" s="20" t="str">
        <x:v>Value</x:v>
      </x:c>
      <x:c r="C2" s="20" t="str">
        <x:v>Unit</x:v>
      </x:c>
      <x:c r="D2" s="20" t="str">
        <x:v>As of</x:v>
      </x:c>
      <x:c r="E2" s="20" t="str">
        <x:v>Source</x:v>
      </x:c>
      <x:c r="F2" s="20" t="str">
        <x:v>Notes</x:v>
      </x:c>
    </x:row>
    <x:row r="3">
      <x:c r="A3" t="str">
        <x:v>SBV refinancing rate</x:v>
      </x:c>
      <x:c r="B3" s="27" t="n">
        <x:v>4.5</x:v>
      </x:c>
      <x:c r="C3" t="str">
        <x:v>% p.a.</x:v>
      </x:c>
      <x:c r="D3" t="str">
        <x:v>2026-06-04</x:v>
      </x:c>
      <x:c r="E3" t="str">
        <x:v>https://www.sbv.gov.vn</x:v>
      </x:c>
      <x:c r="F3" t="str">
        <x:v>Placeholder; update from SBV when needed</x:v>
      </x:c>
    </x:row>
    <x:row r="4">
      <x:c r="A4" t="str">
        <x:v>SBV discount rate</x:v>
      </x:c>
      <x:c r="B4" s="27" t="n">
        <x:v>3</x:v>
      </x:c>
      <x:c r="C4" t="str">
        <x:v>% p.a.</x:v>
      </x:c>
      <x:c r="D4" t="str">
        <x:v>2026-06-04</x:v>
      </x:c>
      <x:c r="E4" t="str">
        <x:v>https://www.sbv.gov.vn</x:v>
      </x:c>
      <x:c r="F4" t="str">
        <x:v>Placeholder; update from SBV when needed</x:v>
      </x:c>
    </x:row>
    <x:row r="5">
      <x:c r="A5" t="str">
        <x:v>Vietnam 10Y government bond yield</x:v>
      </x:c>
      <x:c r="B5" s="27" t="n">
        <x:v>3.1</x:v>
      </x:c>
      <x:c r="C5" t="str">
        <x:v>% p.a.</x:v>
      </x:c>
      <x:c r="D5" t="str">
        <x:v>2026-06-04</x:v>
      </x:c>
      <x:c r="E5" t="str">
        <x:v>https://vbma.org.vn</x:v>
      </x:c>
      <x:c r="F5" t="str">
        <x:v>Placeholder; update from VBMA/market source</x:v>
      </x:c>
    </x:row>
    <x:row r="6">
      <x:c r="A6" t="str">
        <x:v>USD/VND reference</x:v>
      </x:c>
      <x:c r="B6" s="27" t="n">
        <x:v>26000</x:v>
      </x:c>
      <x:c r="C6" t="str">
        <x:v>VND/USD</x:v>
      </x:c>
      <x:c r="D6" t="str">
        <x:v>2026-06-04</x:v>
      </x:c>
      <x:c r="E6" t="str">
        <x:v>https://www.sbv.gov.vn</x:v>
      </x:c>
      <x:c r="F6" t="str">
        <x:v>Placeholder; update from SBV</x:v>
      </x:c>
    </x:row>
    <x:row r="7">
      <x:c r="A7" t="str">
        <x:v>Market trading value threshold - amber</x:v>
      </x:c>
      <x:c r="B7" s="27" t="n">
        <x:v>15000</x:v>
      </x:c>
      <x:c r="C7" t="str">
        <x:v>VND bn/day</x:v>
      </x:c>
      <x:c r="D7" t="str">
        <x:v>Model assumption</x:v>
      </x:c>
      <x:c r="E7" t="str">
        <x:v>Internal assumption</x:v>
      </x:c>
      <x:c r="F7" t="str">
        <x:v>Editable</x:v>
      </x:c>
    </x:row>
    <x:row r="8">
      <x:c r="A8" t="str">
        <x:v>Market trading value threshold - red</x:v>
      </x:c>
      <x:c r="B8" s="27" t="n">
        <x:v>10000</x:v>
      </x:c>
      <x:c r="C8" t="str">
        <x:v>VND bn/day</x:v>
      </x:c>
      <x:c r="D8" t="str">
        <x:v>Model assumption</x:v>
      </x:c>
      <x:c r="E8" t="str">
        <x:v>Internal assumption</x:v>
      </x:c>
      <x:c r="F8" t="str">
        <x:v>Editable</x:v>
      </x:c>
    </x:row>
    <x:row r="9">
      <x:c r="A9" t="str">
        <x:v>Foreign net sell amber</x:v>
      </x:c>
      <x:c r="B9" s="27" t="n">
        <x:v>-1000</x:v>
      </x:c>
      <x:c r="C9" t="str">
        <x:v>VND bn/day</x:v>
      </x:c>
      <x:c r="D9" t="str">
        <x:v>Model assumption</x:v>
      </x:c>
      <x:c r="E9" t="str">
        <x:v>Internal assumption</x:v>
      </x:c>
      <x:c r="F9" t="str">
        <x:v>Editable</x:v>
      </x:c>
    </x:row>
    <x:row r="10">
      <x:c r="A10" t="str">
        <x:v>Foreign net sell red</x:v>
      </x:c>
      <x:c r="B10" s="27" t="n">
        <x:v>-2000</x:v>
      </x:c>
      <x:c r="C10" t="str">
        <x:v>VND bn/day</x:v>
      </x:c>
      <x:c r="D10" t="str">
        <x:v>Model assumption</x:v>
      </x:c>
      <x:c r="E10" t="str">
        <x:v>Internal assumption</x:v>
      </x:c>
      <x:c r="F10" t="str">
        <x:v>Editable</x:v>
      </x:c>
    </x:row>
    <x:row r="11">
      <x:c r="A11" t="str">
        <x:v>Model version</x:v>
      </x:c>
      <x:c r="B11" s="27" t="str">
        <x:v>V3 Master</x:v>
      </x:c>
      <x:c r="C11" t="str"/>
      <x:c r="D11" t="str">
        <x:v>2026-06-04</x:v>
      </x:c>
      <x:c r="E11" t="str">
        <x:v>Internal</x:v>
      </x:c>
      <x:c r="F11" t="str">
        <x:v>Created for Risk Management Head role</x:v>
      </x:c>
    </x:row>
  </x:sheetData>
  <x:mergeCells>
    <x:mergeCell ref="A1:F1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17.5" hidden="0" customWidth="1"/>
    <x:col min="2" max="2" width="16.020000457763672" hidden="0" customWidth="1"/>
    <x:col min="3" max="3" width="42.65999984741211" hidden="0" customWidth="1"/>
    <x:col min="4" max="4" width="20.860000610351562" hidden="0" customWidth="1"/>
    <x:col min="5" max="5" width="14.9399995803833" hidden="0" customWidth="1"/>
  </x:cols>
  <x:sheetData>
    <x:row r="1">
      <x:c r="A1" s="70" t="str">
        <x:v>Data Dictionary</x:v>
      </x:c>
      <x:c r="B1" s="10"/>
      <x:c r="C1" s="10"/>
      <x:c r="D1" s="10"/>
      <x:c r="E1" s="10"/>
      <x:c r="F1" s="10"/>
      <x:c r="G1" s="10"/>
      <x:c r="H1" s="10"/>
      <x:c r="I1" s="10"/>
      <x:c r="J1" s="10"/>
      <x:c r="K1" s="10"/>
      <x:c r="L1" s="10"/>
      <x:c r="M1" s="10"/>
      <x:c r="N1" s="10"/>
      <x:c r="O1" s="10"/>
      <x:c r="P1" s="10"/>
      <x:c r="Q1" s="10"/>
      <x:c r="R1" s="10"/>
      <x:c r="S1" s="10"/>
      <x:c r="T1" s="10"/>
      <x:c r="U1" s="10"/>
      <x:c r="V1" s="10"/>
      <x:c r="W1" s="10"/>
      <x:c r="X1" s="10"/>
      <x:c r="Y1" s="10"/>
      <x:c r="Z1" s="10"/>
    </x:row>
    <x:row r="3">
      <x:c r="A3" s="20" t="str">
        <x:v>Sheet</x:v>
      </x:c>
      <x:c r="B3" s="20" t="str">
        <x:v>Field / Area</x:v>
      </x:c>
      <x:c r="C3" s="20" t="str">
        <x:v>Description</x:v>
      </x:c>
      <x:c r="D3" s="20" t="str">
        <x:v>Source</x:v>
      </x:c>
      <x:c r="E3" s="20" t="str">
        <x:v>Update Frequency</x:v>
      </x:c>
    </x:row>
    <x:row r="4">
      <x:c r="A4" s="10" t="str">
        <x:v>Dashboard</x:v>
      </x:c>
      <x:c r="B4" s="10" t="str">
        <x:v>Overall Status</x:v>
      </x:c>
      <x:c r="C4" s="10" t="str">
        <x:v>Aggregates Red/Amber/Green KRIs</x:v>
      </x:c>
      <x:c r="D4" s="10" t="str">
        <x:v>Risk_Limits</x:v>
      </x:c>
      <x:c r="E4" s="10" t="str">
        <x:v>Daily</x:v>
      </x:c>
    </x:row>
    <x:row r="5">
      <x:c r="A5" s="10" t="str">
        <x:v>Market_Data_vnstock</x:v>
      </x:c>
      <x:c r="B5" s="10" t="str">
        <x:v>VNINDEX Close</x:v>
      </x:c>
      <x:c r="C5" s="10" t="str">
        <x:v>Index close from vnstock or fallback dummy template</x:v>
      </x:c>
      <x:c r="D5" s="10" t="str">
        <x:v>vnstock / Python</x:v>
      </x:c>
      <x:c r="E5" s="10" t="str">
        <x:v>Daily</x:v>
      </x:c>
    </x:row>
    <x:row r="6">
      <x:c r="A6" s="10" t="str">
        <x:v>Market_Data_vnstock</x:v>
      </x:c>
      <x:c r="B6" s="10" t="str">
        <x:v>Volatility 20D</x:v>
      </x:c>
      <x:c r="C6" s="10" t="str">
        <x:v>Annualized standard deviation of daily returns</x:v>
      </x:c>
      <x:c r="D6" s="10" t="str">
        <x:v>Formula</x:v>
      </x:c>
      <x:c r="E6" s="10" t="str">
        <x:v>Daily</x:v>
      </x:c>
    </x:row>
    <x:row r="7">
      <x:c r="A7" s="10" t="str">
        <x:v>Risk_Appetite</x:v>
      </x:c>
      <x:c r="B7" s="10" t="str">
        <x:v>Board Appetite</x:v>
      </x:c>
      <x:c r="C7" s="10" t="str">
        <x:v>Risk appetite statement by risk type</x:v>
      </x:c>
      <x:c r="D7" s="10" t="str">
        <x:v>Internal policy</x:v>
      </x:c>
      <x:c r="E7" s="10" t="str">
        <x:v>Quarterly</x:v>
      </x:c>
    </x:row>
    <x:row r="8">
      <x:c r="A8" s="10" t="str">
        <x:v>Margin_Book</x:v>
      </x:c>
      <x:c r="B8" s="10" t="str">
        <x:v>Margin Loan</x:v>
      </x:c>
      <x:c r="C8" s="10" t="str">
        <x:v>Outstanding margin loan by account</x:v>
      </x:c>
      <x:c r="D8" s="10" t="str">
        <x:v>Internal margin system</x:v>
      </x:c>
      <x:c r="E8" s="10" t="str">
        <x:v>Daily</x:v>
      </x:c>
    </x:row>
    <x:row r="9">
      <x:c r="A9" s="10" t="str">
        <x:v>Margin_Book</x:v>
      </x:c>
      <x:c r="B9" s="10" t="str">
        <x:v>Margin Ratio</x:v>
      </x:c>
      <x:c r="C9" s="10" t="str">
        <x:v>Equity / collateral value</x:v>
      </x:c>
      <x:c r="D9" s="10" t="str">
        <x:v>Formula</x:v>
      </x:c>
      <x:c r="E9" s="10" t="str">
        <x:v>Daily</x:v>
      </x:c>
    </x:row>
    <x:row r="10">
      <x:c r="A10" s="10" t="str">
        <x:v>Liquidity_Risk</x:v>
      </x:c>
      <x:c r="B10" s="10" t="str">
        <x:v>LCR</x:v>
      </x:c>
      <x:c r="C10" s="10" t="str">
        <x:v>Available liquidity / 30-day stressed outflow</x:v>
      </x:c>
      <x:c r="D10" s="10" t="str">
        <x:v>Formula</x:v>
      </x:c>
      <x:c r="E10" s="10" t="str">
        <x:v>Daily</x:v>
      </x:c>
    </x:row>
    <x:row r="11">
      <x:c r="A11" s="10" t="str">
        <x:v>Operational_Risk</x:v>
      </x:c>
      <x:c r="B11" s="10" t="str">
        <x:v>Incident Log</x:v>
      </x:c>
      <x:c r="C11" s="10" t="str">
        <x:v>Operational incidents and root-cause actions</x:v>
      </x:c>
      <x:c r="D11" s="10" t="str">
        <x:v>Internal log</x:v>
      </x:c>
      <x:c r="E11" s="10" t="str">
        <x:v>Monthly</x:v>
      </x:c>
    </x:row>
    <x:row r="12">
      <x:c r="A12" s="10" t="str">
        <x:v>Stress_Test</x:v>
      </x:c>
      <x:c r="B12" s="10" t="str">
        <x:v>Scenarios</x:v>
      </x:c>
      <x:c r="C12" s="10" t="str">
        <x:v>Predefined risk stress scenarios</x:v>
      </x:c>
      <x:c r="D12" s="10" t="str">
        <x:v>Risk Management</x:v>
      </x:c>
      <x:c r="E12" s="10" t="str">
        <x:v>Monthly/Ad hoc</x:v>
      </x:c>
    </x:row>
    <x:row r="13">
      <x:c r="A13" s="10" t="str">
        <x:v>Public_Context</x:v>
      </x:c>
      <x:c r="B13" s="10" t="str">
        <x:v>Macro/Market rates</x:v>
      </x:c>
      <x:c r="C13" s="10" t="str">
        <x:v>Rates and public market context with URLs</x:v>
      </x:c>
      <x:c r="D13" s="10" t="str">
        <x:v>SBV/VBMA/Public sources</x:v>
      </x:c>
      <x:c r="E13" s="10" t="str">
        <x:v>Weekly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fdea612ef46841c6"/>
  </x:tableParts>
</x:worksheet>
</file>

<file path=xl/worksheets/sheet12.xml><?xml version="1.0" encoding="utf-8"?>
<x:worksheet xmlns:x="http://schemas.openxmlformats.org/spreadsheetml/2006/main">
  <x:sheetFormatPr defaultRowHeight="15"/>
  <x:cols>
    <x:col min="1" max="1" width="59.619998931884766" hidden="0" customWidth="1"/>
    <x:col min="2" max="2" width="163.92999267578125" hidden="0" customWidth="1"/>
  </x:cols>
  <x:sheetData>
    <x:row r="1">
      <x:c r="A1" s="72" t="str">
        <x:v>Securities Risk Management V3 Master Workbook</x:v>
      </x:c>
      <x:c r="B1" s="10"/>
      <x:c r="C1" s="10"/>
      <x:c r="D1" s="10"/>
      <x:c r="E1" s="10"/>
      <x:c r="F1" s="10"/>
      <x:c r="G1" s="10"/>
      <x:c r="H1" s="10"/>
      <x:c r="I1" s="10"/>
      <x:c r="J1" s="10"/>
      <x:c r="K1" s="10"/>
      <x:c r="L1" s="10"/>
      <x:c r="M1" s="10"/>
      <x:c r="N1" s="10"/>
      <x:c r="O1" s="10"/>
      <x:c r="P1" s="10"/>
      <x:c r="Q1" s="10"/>
      <x:c r="R1" s="10"/>
      <x:c r="S1" s="10"/>
      <x:c r="T1" s="10"/>
      <x:c r="U1" s="10"/>
      <x:c r="V1" s="10"/>
      <x:c r="W1" s="10"/>
      <x:c r="X1" s="10"/>
      <x:c r="Y1" s="10"/>
      <x:c r="Z1" s="10"/>
    </x:row>
    <x:row r="3">
      <x:c r="A3" s="7" t="str">
        <x:v>Purpose</x:v>
      </x:c>
      <x:c r="B3" s="10" t="str">
        <x:v>Integrated workbook for a Securities Company Risk Management Head: market risk, margin risk, liquidity risk, operational risk, risk appetite, KRI, stress test and committee dashboard.</x:v>
      </x:c>
    </x:row>
    <x:row r="4">
      <x:c r="A4" s="7" t="str">
        <x:v>Data source design</x:v>
      </x:c>
      <x:c r="B4" s="10" t="str">
        <x:v>Market data will be refreshed by Streamlit/Python using vnstock into the Market_Data_vnstock sheet. Public macro/context inputs are kept in Public_Context. Internal data remains as editable assumptions.</x:v>
      </x:c>
    </x:row>
    <x:row r="5">
      <x:c r="A5" s="7" t="str">
        <x:v>Color convention</x:v>
      </x:c>
      <x:c r="B5" s="10" t="str">
        <x:v>Blue font/yellow fill = user input; black = formulas; green = linked values from other sheets.</x:v>
      </x:c>
    </x:row>
    <x:row r="6">
      <x:c r="A6" s="7" t="str">
        <x:v>How to use</x:v>
      </x:c>
      <x:c r="B6" s="10" t="str">
        <x:v>1) Replace dummy input in Margin_Book, Liquidity_Risk, Operational_Risk, Public_Context. 2) Run Python/Streamlit to update vnstock prices. 3) Review Dashboard/Risk_Appetite/Stress_Test.</x:v>
      </x:c>
    </x:row>
    <x:row r="7">
      <x:c r="A7" s="7" t="str">
        <x:v>Recommended GitHub path</x:v>
      </x:c>
      <x:c r="B7" s="10" t="str">
        <x:v>data/securities_risk_management_v3_master.xlsx</x:v>
      </x:c>
    </x:row>
  </x:sheetData>
  <x:mergeCells>
    <x:mergeCell ref="A1:H1"/>
  </x:mergeCells>
  <x:pageMargins left="0.7" right="0.7" top="0.75" bottom="0.75" header="0.3" footer="0.3"/>
</x:worksheet>
</file>